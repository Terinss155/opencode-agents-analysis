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Вопросы" sheetId="1" r:id="rId5"/>
    <sheet state="visible" name="Сводка" sheetId="2" r:id="rId6"/>
    <sheet state="visible" name="Бухгалтерияфинансы" sheetId="3" r:id="rId7"/>
    <sheet state="visible" name="РитейлМагазины " sheetId="4" r:id="rId8"/>
    <sheet state="visible" name="Temp" sheetId="5" r:id="rId9"/>
  </sheets>
  <definedNames>
    <definedName hidden="1" localSheetId="0" name="_xlnm._FilterDatabase">'Вопросы'!$J$1:$J$994</definedName>
    <definedName hidden="1" localSheetId="4" name="_xlnm._FilterDatabase">Temp!$H$1:$H$1022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tc={d9fb5a6e-4d8b-4eca-b177-8dea587918d2}</author>
    <author>tc={faedb869-2f8a-432d-9dc2-a0809cdc92c2}</author>
  </authors>
  <commentList>
    <comment authorId="0" xr:uid="{d9fb5a6e-4d8b-4eca-b177-8dea587918d2}" ref="L79">
      <text>
        <t xml:space="preserve">[Threaded comment]
 Your version of Excel allows you to read this threaded comment; however, any edits to it will get removed if the file is opened in a newer version of Excel. Learn more: https://go.microsoft.com/fwlink/?linkid=870924
Comment:
	Какой норматив у 5post? Под другие способы попадает СДЕК - 14 дней?
</t>
      </text>
    </comment>
    <comment authorId="1" xr:uid="{faedb869-2f8a-432d-9dc2-a0809cdc92c2}" ref="L82">
      <text>
        <t xml:space="preserve">[Threaded comment]
 Your version of Excel allows you to read this threaded comment; however, any edits to it will get removed if the file is opened in a newer version of Excel. Learn more: https://go.microsoft.com/fwlink/?linkid=870924
Comment:
	Не совсем понятен ответ, но понимаю, как "Нет". Заявка отменяется, если основной срок вышел, то финиш. Если время есть, то может создать новую
</t>
      </text>
    </comment>
  </commentList>
</comments>
</file>

<file path=xl/sharedStrings.xml><?xml version="1.0" encoding="utf-8"?>
<sst xmlns="http://schemas.openxmlformats.org/spreadsheetml/2006/main" count="1796" uniqueCount="710">
  <si>
    <t>№</t>
  </si>
  <si>
    <t>Источник</t>
  </si>
  <si>
    <t>Раздел БТ (связка)</t>
  </si>
  <si>
    <t>Ссылка</t>
  </si>
  <si>
    <t>Дата</t>
  </si>
  <si>
    <t>Кто задал</t>
  </si>
  <si>
    <t>Направление</t>
  </si>
  <si>
    <t>Кому адресован (функция-ответчик)</t>
  </si>
  <si>
    <t>Вопрос</t>
  </si>
  <si>
    <t>Есть ответ</t>
  </si>
  <si>
    <t>Кто ответил</t>
  </si>
  <si>
    <t>Ответ</t>
  </si>
  <si>
    <t>Статус треда</t>
  </si>
  <si>
    <t>Примечание</t>
  </si>
  <si>
    <t>БТ (Google Doc) — комментарий</t>
  </si>
  <si>
    <t>6.1 Оформление возврата онлайн / FR-1.4 (отмена возврата)</t>
  </si>
  <si>
    <t>Открыть комментарий</t>
  </si>
  <si>
    <t>По источнику</t>
  </si>
  <si>
    <t>Всего</t>
  </si>
  <si>
    <t>Общее</t>
  </si>
  <si>
    <t>Частично</t>
  </si>
  <si>
    <t>Нет ответа</t>
  </si>
  <si>
    <t>БТ (Google Doc) — комментарии</t>
  </si>
  <si>
    <t>28.08.2026</t>
  </si>
  <si>
    <t>Мария Мезинова</t>
  </si>
  <si>
    <t>1С / товародвижение</t>
  </si>
  <si>
    <t>Бизнес-заказчик / владелец процесса возвратов; Продукт МП / сайт (UX, макеты) - Роман Пушкарь, Оля Соколова</t>
  </si>
  <si>
    <t>ответы</t>
  </si>
  <si>
    <t>Мы будем давать возможность корректировки возврата после создания? Или в случае корректировки старый будем удалять и создавать новый?</t>
  </si>
  <si>
    <t>Нет</t>
  </si>
  <si>
    <t>Опишите по шагам, что делает сотрудник, когда клиент приносит возврат: сейчас — для покупки в магазине и для онлайн-заказа. Где различия?</t>
  </si>
  <si>
    <t>Бухгалтерия</t>
  </si>
  <si>
    <t>Открыт</t>
  </si>
  <si>
    <t>провели встречу</t>
  </si>
  <si>
    <t>В документе Е. Лемешевой (вопр. 27, 10) зафиксировано: изменения только через Дружбу либо отмена и новая заявка.</t>
  </si>
  <si>
    <t>В какой системе проводится возврат? есть ли зависимоть от каких-либо условий</t>
  </si>
  <si>
    <t>1С КА - для ИМ, 1С Р для чековых продаж(ЭБронирование)</t>
  </si>
  <si>
    <t>7.5 FR-5.2 Результат экспертизы фиксируется в системе</t>
  </si>
  <si>
    <t>Сколько времени занимает один возврат на кассе? Что в этом времени самое долгое?</t>
  </si>
  <si>
    <t>замер у Клика, все где расчетный счет, и если клиент потерял КМ, заполнение заявления вручную</t>
  </si>
  <si>
    <t>Сколько возвратов в день в среднем и в пик по магазину? Есть часы, когда возврат создаёт очередь?</t>
  </si>
  <si>
    <t>в среднем 3 возврата в день всего(ИМ+Р)</t>
  </si>
  <si>
    <t>Кто в магазине имеет право принимать возврат — любой продавец, только администратор?</t>
  </si>
  <si>
    <t>любой сотрудник, если брак то администрация</t>
  </si>
  <si>
    <t>Что сотрудник делает сейчас с бумажным заявлением: где хранит, куда передаёт, как часто?</t>
  </si>
  <si>
    <t>сканируют в бухгалтерию, потом отправляют в архив</t>
  </si>
  <si>
    <t>Какие вопросы клиентов по возвратам чаще всего приходят в магазин, хотя решаются не в магазине?</t>
  </si>
  <si>
    <t>дружба при нарушении сроков возврата и брака</t>
  </si>
  <si>
    <t>Опишите по шагам, что происходит с момента появления возврата в реестре 1С до момента, когда деньги ушли клиенту: кто что делает и в какой системе.</t>
  </si>
  <si>
    <t>QR код</t>
  </si>
  <si>
    <t>Чем производится сканирование и сможем ли использовать тот же инструмент для приемки возвратов</t>
  </si>
  <si>
    <t>ручным сканером</t>
  </si>
  <si>
    <t>Каждый день выгружаются из 1С два отчета по возвратам за предыдущий день. Это возвраты магазины и возвраты склада. После выгрузки отчетов, данные заносятся в гугл таблицу. Реестр склада и реестр магазины.После выгрузки, сотрудники, которые занимаются возвратами денежных средств берут реестры в работу и начинают их обрабатывать и отправлять денежные средства. Также каждый день обрабатываем реестр дружбы. Есть еще возвраты заребежные(но у данных возвратов отдельный реестр и система, данных возвратов в 1С и срм нет, у них свой отдельный ЛК) По вторникам и пятницам выгружаем отчет из 1С по отказным заказам и также берем в работу на отбработку и отправку денежных средств.</t>
  </si>
  <si>
    <t>Где сотрудник видит результат сканирования: в кассовой программе, в отдельном интерфейсе, в Retail CRM? Что вообще умеет касса в части приёмки возврата?</t>
  </si>
  <si>
    <t>1С КА - для ИМ, 1С Р для чековых продаж(ЭБронирование), касса создает поток документов по возврату и чек</t>
  </si>
  <si>
    <t>27.08.2026</t>
  </si>
  <si>
    <t>Нужно ли сотруднику видеть данные клиента и состав заказа целиком или достаточно позиций к возврату?</t>
  </si>
  <si>
    <t>Склад (Бетта Про, WMS); 1С / товародвижение - Виталий Рублев</t>
  </si>
  <si>
    <t>Мы сейчас видим и заказ и все товары, надо так оставить, надо видеть данные клиента и расчетный счет</t>
  </si>
  <si>
    <t>1 сценарий: заявление - приёмка -возврат ДС
2 сценарий: заявление - возврат ДС (до приёмки)
3 сценарий: заказ клиента - возврат ДС (недоотгрузка, отказ от получения)</t>
  </si>
  <si>
    <t>Сейчас при получении данных в 1С о возврате мы от Беты получаем только кондицию брак или недостачи.</t>
  </si>
  <si>
    <t>Замечание-ограничение: результат экспертизы в 1С сейчас не передаётся полностью.</t>
  </si>
  <si>
    <t>Приёмка и экспертиза в магазине — это одно действие или два? Между «взял изделие» и «подтвердил приёмку в системе» есть временной лаг?</t>
  </si>
  <si>
    <t>Принять на экспертизу вне системы, по результату оформляется возврат или отказ</t>
  </si>
  <si>
    <t>7.2 FR-2.6 Интеграция склада с курьерской компанией</t>
  </si>
  <si>
    <t>Кто физически выполняет возврат в кабинете мерчанта? Сколько человек и сколько времени на одну операцию?</t>
  </si>
  <si>
    <t>Кто и по каким критериям определяет следы носки, комплектность, соответствие артикула? Есть ли инструкция или это опыт сотрудника?</t>
  </si>
  <si>
    <t>На участке возвратов работает 4 человека. На одну операцию в среднем уходит 15 мин. С учетом проверки самого возврата во всех системах (1С, СРМ, заявление на возврат)</t>
  </si>
  <si>
    <t>Есть инструкция в академии</t>
  </si>
  <si>
    <t>Должны ли правила экспертизы в магазине совпадать с правилами склада? Сейчас они одинаковые?</t>
  </si>
  <si>
    <t>По какому графику выполняются возвраты — только будни? Что в праздники и в последние дни месяца?</t>
  </si>
  <si>
    <t>Склад не проводит экспретизу и не видит заводской/склад брак</t>
  </si>
  <si>
    <t>Сколько времени занимает осмотр изделия и что делать, если очередь?</t>
  </si>
  <si>
    <t>Все переводы денежных средств оформляются по графику работы сотрудников. График у сотрудников 5/2. Cуббота и воскресенье выходные. Банк в выходные также не работает, выгрузка возвратов которые были созданы, через расчетный счет, проходит только в будни в операционное время работы банка. В период распродаж, например, на зимнюю распродажу при необходимости в помощь подключаем доп.сотрудников. В новогодние каникулы выходим в доп.смены.</t>
  </si>
  <si>
    <t>Ждать, 1м на изделие</t>
  </si>
  <si>
    <t>Как узнаёте, что возврат завис: товар принят, деньги не вернули? Есть контроль или всплывает по обращению клиента?</t>
  </si>
  <si>
    <t>Проверяете ли сейчас коды маркировки при возврате? Если клиент купил две одинаковые вещи разными заказами — как определяете, какая именно возвращается?</t>
  </si>
  <si>
    <t>ДА, проверяем и печатаем если утерян, вся инфа есть в заказе</t>
  </si>
  <si>
    <t>В основном о заказах, по которым не прошел вовремя возврат, поступает информация от дружбы, а им в свою очередь пишет клиент. После этого уже выясняем в чем причина, не принят был возврат складом или тех. сбой и в системе статус не прогузился корректный.</t>
  </si>
  <si>
    <t>Нужно ли сотруднику фотографировать изделие при приёмке — например, при сомнениях в состоянии?</t>
  </si>
  <si>
    <t>Такого правила нет, только если продавец сомневается он может отправить УМ</t>
  </si>
  <si>
    <t>Что для вас является основанием выплатить деньги клиенту: заявление, реестр 1С, отчёт, что-то ещё?</t>
  </si>
  <si>
    <t>Что сейчас остаётся у клиента после сдачи изделия в магазине? Второй экземпляр заявления, чек, ничего?</t>
  </si>
  <si>
    <t>ничего, если клиент наставивает то Заявление</t>
  </si>
  <si>
    <t>Основанием является заполненное заявление на возврат от клинета. В 1С должны быть сформированы все проводки(Оплата от клиента, документ возврата, приходный ордер) чтобы корректно оформить перевод дс</t>
  </si>
  <si>
    <t xml:space="preserve">Что клиент должен получить в целевом процессе — электронное подтверждение приёма, распечатанную квитанцию, ничего? </t>
  </si>
  <si>
    <t>ИМ - квитанцию, Розница - чек, слип</t>
  </si>
  <si>
    <t>Достаточно ли записи в системе и данных в отчёте, или нужен документ-файл как приложение к операции?</t>
  </si>
  <si>
    <t>Нужны корректные данные в заявлении (электронном). Достаточно отчёта</t>
  </si>
  <si>
    <t>Как клиенты реагируют, когда на руках не остаётся никакого документа? Были конфликты?</t>
  </si>
  <si>
    <t>Плохо и негативно</t>
  </si>
  <si>
    <t>Что предъявляете при налоговой или аудиторской проверке по возврату? Какой комплект должен собираться?</t>
  </si>
  <si>
    <t>Кто в магазине озвучивает клиенту срок возврата денег и что говорите сейчас?</t>
  </si>
  <si>
    <t>до 10 дней</t>
  </si>
  <si>
    <t>Нужен ли?</t>
  </si>
  <si>
    <t>заявление на возврат от клиента, чек на возврат</t>
  </si>
  <si>
    <t>Что происходит физически, если изделие не прошло проверку и вы не принимаете возврат: изделие остаётся у клиента, забираете на экспертизу, отправляете на склад?</t>
  </si>
  <si>
    <t>Нужен акт приёмки изделия от склада или достаточно статуса в системе?</t>
  </si>
  <si>
    <t>оставляем клиенту, а заводской брак возвращаем на склад</t>
  </si>
  <si>
    <t>Достаточно корректной статусной модели</t>
  </si>
  <si>
    <t>Как часто клиент не согласен с отказом? Кто разруливает на месте и есть ли право «пойти навстречу»?</t>
  </si>
  <si>
    <t>не статистики, возможно есть у ФФ, навстречу только через Дружба</t>
  </si>
  <si>
    <t>Кто и в какой момент пробивает чек «возврат прихода»? Деньги идут через кабинет мерчанта — как при этом формируется фискальный чек и кто за это отвечает?</t>
  </si>
  <si>
    <t>IT-архитектура (интеграции) - Предложите</t>
  </si>
  <si>
    <t>Если решение «идём навстречу» принимается — кто его принимает и как это фиксируется?</t>
  </si>
  <si>
    <t>Дружба в мосте</t>
  </si>
  <si>
    <t>Так мы 1С с курьерскими компаниями интегрируем или систему склада?</t>
  </si>
  <si>
    <t>Что делать, если срок возврата истёк, но клиент настаивает? Сейчас у сотрудника есть полномочия?</t>
  </si>
  <si>
    <t>технически контроля нет, желания нет</t>
  </si>
  <si>
    <t>Нужен ли отдельный статус или пометка для случая «принято под вопросом, решение позже»?</t>
  </si>
  <si>
    <t>нет такого статуса</t>
  </si>
  <si>
    <t>На различные компенсации (компенсации ремонта, независимой экспертизы, доставки) чек формируется в ручную в 1С на основании списания безналичных денежных средств. Если возвртат был по Юкассе, Яндекс СБП чек уходит автоматом, после проведения перевода денежных средств. Если возврат был оформлен через расчетный счет, то чеки мы сверяем. Каждый день выгружаем отчет по чекам (именно по списанием) и сверяем, чтобы чеки ушли корректно и ничего не упустили.</t>
  </si>
  <si>
    <t>Документ Е. Лемешевой</t>
  </si>
  <si>
    <t>Изделие, возвращённое в магазине, остаётся в продаже в этом магазине или уезжает на склад? От чего это зависит?</t>
  </si>
  <si>
    <t>брак на склад, нормальное остается в магазине, если нет продаж возвращают на склад</t>
  </si>
  <si>
    <t>Светлана Варцаба</t>
  </si>
  <si>
    <t>дата чека равна дате возврата дс клиенту. Чеки на возврат по сервису bnpl формируется из двух показателей: загруженный взаимозачет  и свормироанный документ в 1с на возврат товара.  Поэтому система ждем чаще всего документа возварта для пробития чека. Чеки на возварт предоплаты формируется в момет загрузки взаимозачета. С помощью отчета отслеживаются в течение месяца сформированные чеки на возвраты по всем видам оплаты</t>
  </si>
  <si>
    <t>Как я понимаю, мы 1С интегрируем, и Бетта на своей стороне тоже должна будет сделать какую-то доработку.</t>
  </si>
  <si>
    <t>Кто оформляет перемещение и в какой системе? Сколько времени изделие лежит в магазине до отправки?</t>
  </si>
  <si>
    <t>Товародвижение оформляет все заявки на возврат, нет информации</t>
  </si>
  <si>
    <t>Требует финального решения по архитектуре интеграции.</t>
  </si>
  <si>
    <t>Отличается ли обработка для покупки этого же магазина и для онлайн-заказа, возвращённого сюда?</t>
  </si>
  <si>
    <t>Допустимо ли инициировать возврат в момент приёмки в магазине, до того как изделие придёт на склад? Что для этого нужно с вашей стороны?</t>
  </si>
  <si>
    <t>да, разные ситемы, разная логика документов</t>
  </si>
  <si>
    <t>возвраты сейчас оформляются  магазинами момент приемки товара</t>
  </si>
  <si>
    <t>6.12 Идентификация на складе по QR/PIN/номеру заказа</t>
  </si>
  <si>
    <t>Возврат приходит без фирменной коробки — есть ли требования к упаковке для отправки на склад?</t>
  </si>
  <si>
    <t>Возврат клиенту делаем, на склад в коробке через заказ расходников</t>
  </si>
  <si>
    <t>Какой риск, если деньги вернули, а изделие не дошло до склада или не прошло экспертизу? Как это отрабатывается сейчас?</t>
  </si>
  <si>
    <t>Рост задолженности клиентов перед компанией. Если документ  возврата не будет  через 3 года по истечению срока исковой давности спишем 
Отрабатываеться устным запросом от бухгалтерии по каждому документу возврата: оформляем отчет и напарвляем складу и ставим задачу</t>
  </si>
  <si>
    <t>Кто возвращает деньги при возврате в магазине: касса на месте или бухгалтерия постфактум? Различается для покупки в магазине и онлайн-заказа?</t>
  </si>
  <si>
    <t xml:space="preserve">
Вопрос поднимала здесь - решения пока нет
https://mattermost.12stz.com/12storeez/pl/bkt36pxmdfn5zpj566kffmi9jo</t>
  </si>
  <si>
    <t>нал и карты и спб на месте, рс бухгалтерия</t>
  </si>
  <si>
    <t>Возврат наличными из кассы: требуете паспорт, оформляете РКО, есть лимиты по сумме?</t>
  </si>
  <si>
    <t>лимитов нет, пасорт и заявление и рко</t>
  </si>
  <si>
    <t>Если онлайн-заказ оплачен картой, а клиент сдаёт в магазин — вы возвращаете на карту сами или это уходит в бухгалтерию?</t>
  </si>
  <si>
    <t>рс через бухгалтерию</t>
  </si>
  <si>
    <t>Список не принятых возвратов , причины разные не доехал твоар, путаница в номенклатуре, системная ошибка статуса ВМС ит.д.
Не принятые возвраты за июль 2026.xlsx</t>
  </si>
  <si>
    <t>Мы рассматриваем вариант инициировать возврат денег сразу при приёмке в магазине, поскольку экспертиза уже проведена на месте. Реалистично это для вас? Что нужно, чтобы так работало? (решение D-8)</t>
  </si>
  <si>
    <t>Сейчас это не возвожно, и надо проверять законодательные ограничения. Но идея хорошая, надо учесть в мотивации продавцов</t>
  </si>
  <si>
    <t>Что делать, если клиент платил наличными и нужны реквизиты счёта — кто их собирает и проверяет?</t>
  </si>
  <si>
    <t>ИМ принимает наличные? в Р таких ограничений нет, проверяет рс сотрудник</t>
  </si>
  <si>
    <t>Клиент пришёл в обычный магазин с покупкой из аутлета — разворачиваете? Как часто это происходит и как реагируют клиенты?</t>
  </si>
  <si>
    <t>технических ограничений нет</t>
  </si>
  <si>
    <t>Аутлет и «Цветной» — какие правила приёмки отличаются от обычной розницы?</t>
  </si>
  <si>
    <t>Цветной другая схема работы - коммисия, организационно примерно тоже самое</t>
  </si>
  <si>
    <t>Все ли магазины смогут принимать возврат онлайн-заказов, или есть ограничения по формату, площади, персоналу?</t>
  </si>
  <si>
    <t>нет ограничений</t>
  </si>
  <si>
    <t>С каких магазинов логичнее начать пилот — 5–10 точек? Какие критерии предложите?</t>
  </si>
  <si>
    <t>с мало трафиковых магазинов, Времена года, Ростокино и тд</t>
  </si>
  <si>
    <t>Как сейчас принимаете брак в магазине и чем это отличается от возврата качественного товара?</t>
  </si>
  <si>
    <t>IT-архитектура (интеграции); Склад (Бетта Про, WMS) - Договориться с Виталиев Рублевым</t>
  </si>
  <si>
    <t>Уже выше задавали вопрос, как эта информация будет считываться Бетой, что будет зашито в этом QR?</t>
  </si>
  <si>
    <t>Да</t>
  </si>
  <si>
    <t>только проставлением признака и причины в Р с подтвреждением УМ</t>
  </si>
  <si>
    <t>Артём Лисин</t>
  </si>
  <si>
    <t>Мы хотим инициировать экспертизу по тому же коду и выдавать клиенту подтверждение приёма на экспертизу. Как это ляжет на процесс магазина?</t>
  </si>
  <si>
    <t>Итого</t>
  </si>
  <si>
    <t>сейчас вне 1с, учесть кто оплачивает счета, учесть в мотивации</t>
  </si>
  <si>
    <t>Сроки по браку: у обычного клиента 14 дней, у FnF 31. Сотрудник видит признак FnF на кассе?</t>
  </si>
  <si>
    <t>не видит, про клиента ФФ сообщает дружба</t>
  </si>
  <si>
    <r>
      <rPr>
        <rFont val="Arial"/>
        <sz val="10.0"/>
      </rPr>
      <t xml:space="preserve">Описание физики процесса: </t>
    </r>
    <r>
      <rPr>
        <rFont val="Arial"/>
        <color rgb="FF1155CC"/>
        <sz val="10.0"/>
        <u/>
      </rPr>
      <t>https://docs.google.com/document/d/1Zmr8Sj2AWePHZbu1j1lDsXq5xoYjoJOm/edit</t>
    </r>
    <r>
      <rPr>
        <rFont val="Arial"/>
        <sz val="10.0"/>
      </rPr>
      <t xml:space="preserve">
В зависимости от способа забора идентификаторы возврата будут появляться в разный момент времени</t>
    </r>
  </si>
  <si>
    <t>Что делать, если брак приносят по истечении срока?</t>
  </si>
  <si>
    <t>отказываем кроме ФФ</t>
  </si>
  <si>
    <t>Сколько времени нужно на обучение сотрудников новому процессу и в каком формате: инструкция, видео, тренинг?</t>
  </si>
  <si>
    <t>инструкция вики и академия урок</t>
  </si>
  <si>
    <t>Что должно быть в инструкции обязательно, чтобы сотрудник не растерялся у стойки?</t>
  </si>
  <si>
    <t>все варианты описания процесса</t>
  </si>
  <si>
    <t>Кого из ваших людей поставить владельцем процесса на стороне розницы?</t>
  </si>
  <si>
    <t>Ольховиков</t>
  </si>
  <si>
    <t>Что делает сотрудник, если нет сети, касса не отвечает или система возвратов недоступна, а клиент стоит перед ним?</t>
  </si>
  <si>
    <t>извиняется и ждем восстановления связи. Ничег осделать не возможно</t>
  </si>
  <si>
    <t>Нужен ли бумажный резервный вариант на такой случай, и как потом данные попадают в систему?</t>
  </si>
  <si>
    <t>не нужен, нужна стабильная связь и резервный канал</t>
  </si>
  <si>
    <r>
      <rPr/>
      <t xml:space="preserve">Примеры задач по непринятым вовзратам
https://tracker.yandex.ru/SUP-95383
</t>
    </r>
    <r>
      <rPr>
        <color rgb="FF1155CC"/>
        <u/>
      </rPr>
      <t>https://tracker.yandex.ru/SUP-95384</t>
    </r>
  </si>
  <si>
    <t xml:space="preserve"> Какие события в магазине клиент должен видеть в приложении: «ждём вас в магазине», «принято», что-то ещё?</t>
  </si>
  <si>
    <t>ждем, принято к возврату, возращены средства</t>
  </si>
  <si>
    <t>Можем ли сделать вариант, когда клиент просто оформляет возврат и приходит в любой удобный магазин?</t>
  </si>
  <si>
    <t>клиент должен иметь возможность оформить заявку на возврат по любому чеку магазина, и 1с Р должна иметь возможность формировать заявку на возврат в приложении клиента. Вовзарт на рс работает в любом магазине сети</t>
  </si>
  <si>
    <t>См. также вопросы Е. Васильевой и А. Колосова по QR (кто генерирует, что зашито).</t>
  </si>
  <si>
    <t>6.12 Заявление автоматически попадает в WMS в момент оформления (зачёркнуто)</t>
  </si>
  <si>
    <t>Есть ли сумма, выше которой возврат требует отдельного согласования?</t>
  </si>
  <si>
    <t>нет, если возврат клиенту согласован, то возвращается полная стоимость товара</t>
  </si>
  <si>
    <t>IT-архитектура (интеграции) - Предложите как надо</t>
  </si>
  <si>
    <t>У нас нет интеграции сайт — Бета, возврат в Бету попадет только через 1С. И это точно будет не в момент оформления.</t>
  </si>
  <si>
    <t>Маша, это отменяю — не нужно заявление на возврат Бетте.</t>
  </si>
  <si>
    <t>Планируем такой состав: номер заказа и возврата, клиент, признак FnF, позиции и сумма, способ оплаты, канал и точка приёмки, статус и даты статусов, признак аномалии и причина, факт/способ/дата/сумма выплаты, ссылка на заявление. Чего не хватает, чтобы работать только по отчёту?</t>
  </si>
  <si>
    <t>Требование снято (в БТ зачёркнуто).</t>
  </si>
  <si>
    <t>В каком виде удобнее — Qlik, выгрузка из 1С, файл? Как часто обновлять?</t>
  </si>
  <si>
    <t>10 Статусная модель возврата</t>
  </si>
  <si>
    <t>1С</t>
  </si>
  <si>
    <t>Елена Васильева</t>
  </si>
  <si>
    <t xml:space="preserve"> Из СРМ для сверки заказов мы берем следующие данные: 1)Комментарии оставленные от дружбы(в комментариях прописывают, про различные обмены, переносы оплат или что возврат необходим по реквизитам, комментарии также могут быть, что дс не возвращать, что дс зачтены в счет долга по другому заказу) 2) В файлах в СРМ мы также проверям прикрепленные документы( Заявления на возврат, чеки от клиентов на возврат компенсаций, реквизиты клиентов) 3) Сверяем артикула в срм (Бывает сложные ситуации с заказами, когда возникает путаница, клиент вернул одно, по системам принято другое. Соответственно, разница с принятыми артикулами в СРМ и 1С расходится, поэтому начинаем сверять и выяснять, что по факту клиент вернул</t>
  </si>
  <si>
    <t>Нужен отдельный срез «к выплате сегодня» или фильтруете сами?</t>
  </si>
  <si>
    <t>Нужен срез по периодам под закрытие месяца?</t>
  </si>
  <si>
    <t>Кому из бухгалтерии нужен доступ к отчёту?</t>
  </si>
  <si>
    <t>Есина Мария (М. Подгорняк: у меня вопрос, что это за отчет? Это аналог нынешних реестров?)</t>
  </si>
  <si>
    <t>Как сейчас сверяете возвраты с выписками банка и отчётами эквайера? Сколько это занимает?</t>
  </si>
  <si>
    <t>Есина Мария (в разрезе чеков после загрузки мною Юмани и загрузкой Морозовой НВ взаимозачетов, если это месячная сверка чеков то может занимать более 2-3 часов в день, если проверка отчетами на ежедневной основе при условии, что все загружено занимает не много времени)</t>
  </si>
  <si>
    <t>Что в этой сверке сломается при росте объёма возвратов?</t>
  </si>
  <si>
    <t>в этом году отладили процес сверки, как таковых поломок нет</t>
  </si>
  <si>
    <t>Какие расхождения встречаются регулярно и какие можно закрывать автоматически?</t>
  </si>
  <si>
    <t>IT-архитектура (интеграции) Артем Колосов + Виталий Рублев (клиентские статусы даны)</t>
  </si>
  <si>
    <t>Нужна статусная модель по всем системам, включая ТК и 3PL. Желаемые статусы нужно наложить на физический процесс и статусы партнеров.</t>
  </si>
  <si>
    <t xml:space="preserve">1. снйчас основаная проблема со скидками: ошибка в установлении скидки в заказе и РТиУ, сумма товара возврата равна РТиУ. Расхождения связанные со сидками, если сумма заказа не равна сумме дс от клиента, то вся цепочка рту-возврат будет не верная и тут есть риск, что команда возвратов вернет дс по не верному документу возварту. ТУт очень большая проблема и постоянные расхождления: от чего сумма возврата может быть не верной в чеке и в документе возврата
2. Чеки пробиваются автоматически, бывают случаи сбоя, но они выявляются и устраняются в ручном режиме, занимает много времени. </t>
  </si>
  <si>
    <t>Светлана в треде А. Колосова: «Тут блок перепишем».</t>
  </si>
  <si>
    <t>Артём Колосов</t>
  </si>
  <si>
    <t>7.8 FR-8.5 Интеграции с партнёрами доставки / 6.12</t>
  </si>
  <si>
    <r>
      <rPr>
        <color rgb="FFFF0000"/>
      </rPr>
      <t xml:space="preserve">Обсуждаем здесь
</t>
    </r>
    <r>
      <rPr>
        <color rgb="FFFF0000"/>
        <u/>
      </rPr>
      <t xml:space="preserve">https://mattermost.12stz.com/12storeez/pl/3t85hmpa8prk3y54c71gmw5zgh
</t>
    </r>
    <r>
      <rPr>
        <color rgb="FFFF0000"/>
      </rPr>
      <t xml:space="preserve">Постоянные не верные доработки и от этого очень много ошибок - првим руками.
В мае был сбой
На сегодня с новой доработкой опять проблемы - почему-то 1С сама создает возвраты ДС клиентам на скидки 
</t>
    </r>
    <r>
      <rPr>
        <color rgb="FFFF0000"/>
        <u/>
      </rPr>
      <t>https://mattermost.12stz.com/12storeez/pl/13pmgc7defbdxysxpyp7urdd3y</t>
    </r>
  </si>
  <si>
    <t>IT-архитектура (интеграции) Аретм Колосов; Логистика (ТК, ПВЗ, Почта России) Артем Лисин</t>
  </si>
  <si>
    <t>В какой момент должна срабатывать интеграция 1С-ТК? На каком этапе возврата?</t>
  </si>
  <si>
    <t>Екатерина Лемешева</t>
  </si>
  <si>
    <t>6.3 Канал — розничный магазин (приёмка изделия)</t>
  </si>
  <si>
    <t>Возврат денег</t>
  </si>
  <si>
    <t>Наличные: как оформляется РКО, нужен паспорт, есть ограничения по сумме? Верно, что наличными за оплату картой вернуть нельзя?</t>
  </si>
  <si>
    <t>возврат наличными проводится ровно на ту сумму, которую клиент оплатил наличными при покупке. Выдача наличных при оплате безналичными запрещена. Клиент имеет право не предоставлять паспортные данные при любом типе возвратов</t>
  </si>
  <si>
    <t>Сертификат: технически можно зачислить возврат на сертификат и как это проводится в учёте?</t>
  </si>
  <si>
    <t>нет. Только деньгами</t>
  </si>
  <si>
    <t>Бонусы: как пересчитываются при частичном возврате и где это ломается?</t>
  </si>
  <si>
    <t>возврат проводится по стоимости товара в заказе, бонусы распределены пропорционально всем товарам</t>
  </si>
  <si>
    <t>«Долями» / «Подели»: как отрабатывается возврат по рассрочке?</t>
  </si>
  <si>
    <t>В 1С смотрим каким способом была оплата у клиента, если это сервис Долями, Сплит или Подели , то переводы дс оформляются в личном кабинете данных сревисов. Если заказ даавний(больше месяца), то по таким заказам дс переводим на расчетный счет если клиент указал реквизиты, либо пишем девочкам из дружбы, чтобы уточнили у клента как именно необходимо вернуть дс, (если рассрочка закрыта уже, то по реквизитам возвращаем, а если нет, то через сервис)</t>
  </si>
  <si>
    <t>Частичный возврат: как распределяется скидка и доставка?</t>
  </si>
  <si>
    <t xml:space="preserve"> Александ Ольховиков</t>
  </si>
  <si>
    <t>скидка пропорциональна количеству товара в заказе, стоимость доставки не всегда компннсируется при этом, так как в большинстве случаев услуга оказана, т.е. сумма возврата соответсвует стоимости в реализации по позиционно</t>
  </si>
  <si>
    <t>Мы планируем приемку по КМ в магазине? Сейчас КМ не проверяем. Если клиент ранее приобрел две одинаковые вещи разными ЗК, мы формируем возврат без проверки КМ. Что КМ из другого ЗК узнаем при приемке на Бете, если товар был туда отправлен.</t>
  </si>
  <si>
    <t>Расхождение суммы — клиент ждёт одну, возвращаем другую из-за бонусов или сервисного сбора. Кто решает и как оформляет?</t>
  </si>
  <si>
    <t xml:space="preserve">Вопрос скидок очень актуален, после ошибок мая были случаи, когда дс вернули больше клиенту, чем надо или наоборот. Решает команда возвартов. </t>
  </si>
  <si>
    <r>
      <rPr>
        <rFont val="Arial"/>
        <sz val="10.0"/>
      </rPr>
      <t xml:space="preserve">Сейчас магазины при приёмке возврата обязательно сканируют марки, если марки нет - её заново печают по данным из документа продажи и сканируют в возврат.
</t>
    </r>
    <r>
      <rPr>
        <rFont val="Arial"/>
        <color rgb="FF1155CC"/>
        <sz val="10.0"/>
        <u/>
      </rPr>
      <t>https://wiki.yandex.ru/teams/retail/wiki/instrukcii-roznichnojj-seti/arm-vozvratov.-opisanie-oformlenija-vozvrata-v-nr/
https://wiki.yandex.ru/documentation/user/roznica/russia/kassovaja-disciplina/vozvraty/instrukcija-dlja-arm-vozvratov/</t>
    </r>
  </si>
  <si>
    <t>Что если клиент не дал реквизиты и деньги вернуть некуда? Есть срок, после которого сумма списывается?</t>
  </si>
  <si>
    <t>Если клиент не предоставил реквизиты в заявлении на возврат, а оплата у клиента была наличными или безналичным наложенным платежом(при данном способе оплаты обязательно необходимы реквизиты от клиента) заносим такие заказы в гугл таблицу "запрос реквизитов" девочки из дружбы их берует в работу и связываются с клинтом и как только клиент предоставляет реквизиты оформляем перевод дс</t>
  </si>
  <si>
    <t xml:space="preserve">Второй этап интеграции </t>
  </si>
  <si>
    <t>Что должно оставаться ручным всегда: исключения, крупные суммы, спорные кейсы?</t>
  </si>
  <si>
    <t>спорные кейсы, исключения</t>
  </si>
  <si>
    <t>Какой статус и какие данные система должна вернуть, чтобы вы считали операцию завершённой?</t>
  </si>
  <si>
    <t>пробитие чека по операции возврата, факт поступления товара на склад/магазин и схлопнутые взаиморасчеты в рамказ Клиент/Заказа, подтверждение оплаты</t>
  </si>
  <si>
    <t>Обратная логистика</t>
  </si>
  <si>
    <t>Оплата обратной доставки при возврате качественного товара — на клиенте или на нас? Как отражается в учёте и удерживается ли из суммы возврата?</t>
  </si>
  <si>
    <t>на клиенте</t>
  </si>
  <si>
    <t>При отказе в возврате изделие едет клиенту обратно — за чей счёт и как проводится?</t>
  </si>
  <si>
    <t>Калининград/другие регионы</t>
  </si>
  <si>
    <t>6.4 Канал — курьерская доставка (окно с информацией о возврате)</t>
  </si>
  <si>
    <t>Клиент оплачивает доставку до нас? как мы компенсируем? или не компенсируем?</t>
  </si>
  <si>
    <t>компенсация на усмотрение команды дружбы</t>
  </si>
  <si>
    <t xml:space="preserve">Про закрытие периода </t>
  </si>
  <si>
    <t>В каком периоде отражается возврат: по дате приёмки, по дате выплаты или по дате документа в 1С?</t>
  </si>
  <si>
    <t>по дате отражения в 1С документа возврата</t>
  </si>
  <si>
    <t>скинуть ссылку на матрмост</t>
  </si>
  <si>
    <t>Что если товар принят 30-го, а деньги вернули 3-го числа следующего месяца — это разные периоды?</t>
  </si>
  <si>
    <t>товар учитывается по дате принятия</t>
  </si>
  <si>
    <t>Какой cut-off у закрытия месяца: до какого числа и часа возвраты попадают в текущий период?</t>
  </si>
  <si>
    <t>Есть дни, когда возвраты нельзя проводить из-за закрытия? Что тогда происходит с клиентом?</t>
  </si>
  <si>
    <t>Как оформляется возврат по заказу из уже закрытого периода? А по заказу прошлого года?</t>
  </si>
  <si>
    <t>возврат можно провести из заказа за любой период</t>
  </si>
  <si>
    <t>26.08.2026</t>
  </si>
  <si>
    <t>Есть крайний срок, после которого возврат по старому заказу технически не провести?</t>
  </si>
  <si>
    <t>Предложите решение корректное</t>
  </si>
  <si>
    <t>могут возникнуть проблемы из-за маркировки в некоторых случаях по очень старым заказам</t>
  </si>
  <si>
    <t>В каком статусе в этот момент должен быть документ возврата?</t>
  </si>
  <si>
    <t>Нужны корректировочные документы (УКД, корректировочный счёт-фактура) и кто их формирует?</t>
  </si>
  <si>
    <t>Функция-ответчик (входит в адресаты)</t>
  </si>
  <si>
    <t>3.1 Причины возврата</t>
  </si>
  <si>
    <t>Как возврат влияет на выручку периода и НДС</t>
  </si>
  <si>
    <t>Бизнес-заказчик / владелец процесса возвратов</t>
  </si>
  <si>
    <t>1С / товародвижение; Финансы / бухгалтерия - Анжела Калиева, Ольга Соколова</t>
  </si>
  <si>
    <t>Нужно ли будет причины возвратов передавать и хранить в 1С?</t>
  </si>
  <si>
    <t>Нет такой необходимости (ответ дан в соседнем треде Е. Васильевой, т.к. исходный ответ случайно удалён).</t>
  </si>
  <si>
    <t>Решён</t>
  </si>
  <si>
    <t>2 Цели и бизнес-метрики (авторазбор аномалий)</t>
  </si>
  <si>
    <t xml:space="preserve">Владелец процесса возвратов; Склад (Бетта Про, WMS); 1С / товародвижение </t>
  </si>
  <si>
    <t>IT-архитектура (интеграции)</t>
  </si>
  <si>
    <t>Что мы вкладываем в «авторазбор аномалий»? Как должен выглядеть этот процесс?</t>
  </si>
  <si>
    <t>Разбор аномалий оставляем в текущем состоянии</t>
  </si>
  <si>
    <t>3.1 Функционал Дружбы в RCRM для оформления возврата</t>
  </si>
  <si>
    <t>Владелец процесса возвратов; Клиентский сервис (Дружба, Retail CRM) - Варцаба (встреча стоит)</t>
  </si>
  <si>
    <t>Это будет единственный способ оформления возврата? Будет ли он обязательным? (сейчас есть случаи, когда возврат приходит на склад без оформленного возврата в приложении/RCRM).</t>
  </si>
  <si>
    <t>Не единственный — клиент может обратиться в Дружбу, что хочет оформить возврат; у Дружбы должен быть функционал (в RCRM — с возможностью оформить возврат).</t>
  </si>
  <si>
    <t>3.1 Функционал Дружбы в RCRM / 9 Интеграции (CRM)</t>
  </si>
  <si>
    <t>Логистика (ТК, ПВЗ, Почта России)</t>
  </si>
  <si>
    <t>IT-архитектура (интеграции) Максим Маринин</t>
  </si>
  <si>
    <t>Сейчас мы принимаем RCRM как мастер-систему, все спорные кейсы всегда проверяем и сравниваем именно с ней. Какую систему рассматриваем как мастер-систему в этом проекте?</t>
  </si>
  <si>
    <t>Здесь не понимаю, приведи пример, пожалуйста.</t>
  </si>
  <si>
    <t>Нужен пример от Марии; решение по мастер-системе не принято.</t>
  </si>
  <si>
    <t>3.1 Отказ от бумажного заявления / электронное заявление</t>
  </si>
  <si>
    <t>Аналитик МП / сайт</t>
  </si>
  <si>
    <t>-</t>
  </si>
  <si>
    <t>В какой системе генерируется электронное заявление, так как подтвердилось, что оно должно храниться?</t>
  </si>
  <si>
    <t>Оно должно создаваться в приложении/на сайте, не храним</t>
  </si>
  <si>
    <t>Мастер-система хранения не определена (см. также вопр. 4 в док. Е. Лемешевой).</t>
  </si>
  <si>
    <t>3.1 Передача заявления в WMS / 1С (зачёркнуто)</t>
  </si>
  <si>
    <t>Продукт МП / сайт (UX, макеты)</t>
  </si>
  <si>
    <t>Юристы; Бизнес-заказчик / владелец процесса возвратов</t>
  </si>
  <si>
    <t>25.08 обсуждали, что будет только возврат как документ, заявления не будет. Его не нужно будет хранить и передавать?</t>
  </si>
  <si>
    <t>Заявления в электронном виде остаются исключительно для разрешения споров — они должны сохраняться 5 лет (пока не понятно где именно). Хранить нужно, передавать между системами — нет.</t>
  </si>
  <si>
    <t>8 NFR-1 Пиковая нагрузка (всплеск после выходных)</t>
  </si>
  <si>
    <t>Tech-аналитик (сайт / интеграции)</t>
  </si>
  <si>
    <t>Бизнес-заказчик / владелец процесса возвратов; Склад (Бетта Про, WMS) Оля Соколова</t>
  </si>
  <si>
    <t>Какие максимальные значения сейчас наблюдаются после выходных? В пункте 5.1 шаг 1 указывалось 50–80 заявлений, то есть примерно такое кол-во?</t>
  </si>
  <si>
    <t>7.9 FR-9.1 Система формирует отчёт</t>
  </si>
  <si>
    <t>Финансы / бухгалтерия</t>
  </si>
  <si>
    <t xml:space="preserve">Финансы / бухгалтерия; 1С / товародвижение </t>
  </si>
  <si>
    <t>В какой системе формируется отчёт?</t>
  </si>
  <si>
    <t>Qlik / 1С.</t>
  </si>
  <si>
    <t>6.8 Приёмка: при сканировании сотрудник склада видит номер заказа</t>
  </si>
  <si>
    <t>Логистика (ТК, ПВЗ, Почта России); Склад (Бетта Про, WMS) - Виталий Рублев</t>
  </si>
  <si>
    <t>Выше уже подсвечивался вопрос по QR-кодам. Сотрудник склада будет сканировать QR-код, полученный от ТК? Но в нём навряд ли зашиты наш номер заказа или данные клиента.</t>
  </si>
  <si>
    <r>
      <rPr>
        <rFont val="Arial"/>
        <sz val="10.0"/>
      </rPr>
      <t xml:space="preserve">Описание физики процесса: </t>
    </r>
    <r>
      <rPr>
        <rFont val="Arial"/>
        <color rgb="FF1155CC"/>
        <sz val="10.0"/>
        <u/>
      </rPr>
      <t>https://docs.google.com/document/d/1Zmr8Sj2AWePHZbu1j1lDsXq5xoYjoJOm/edit</t>
    </r>
    <r>
      <rPr>
        <rFont val="Arial"/>
        <sz val="10.0"/>
      </rPr>
      <t xml:space="preserve">
В зависимости от способа забора идентификаторы возврата будут появляться в разный момент времени</t>
    </r>
  </si>
  <si>
    <t>Юристы</t>
  </si>
  <si>
    <t>6.7 Канал — Почта России (клиент оплачивает расходы по доставке)</t>
  </si>
  <si>
    <t>Владелец процесса возвратов; Финансы / бухгалтерия - Оля Соколова</t>
  </si>
  <si>
    <t>Хотелось бы уточнить, оплата доставки на стороне клиента?</t>
  </si>
  <si>
    <t>В док. Е. Лемешевой (вопр. 23) ответ: доставку оплачивает Компания; при браке — продавец.</t>
  </si>
  <si>
    <t>6.7 Канал — Почта России (накладную отправят на email)</t>
  </si>
  <si>
    <t>Логистика (ТК, ПВЗ, Почта России); Разработка сайта / бэкенд Артем Лисин</t>
  </si>
  <si>
    <t>Отправка накладной на email будет происходить вручную или автоматически?</t>
  </si>
  <si>
    <t>6.1 Оформление возврата онлайн (QR-код)</t>
  </si>
  <si>
    <t>Склад (Бетта Про, WMS)</t>
  </si>
  <si>
    <t>IT-архитектура (интеграции); Продукт МП / сайт (UX, макеты)
Роман Пушкарь/Артем Лисин</t>
  </si>
  <si>
    <t>Какая система генерит QR в данном сценарии? Какая информация должна быть зашита в QR?</t>
  </si>
  <si>
    <r>
      <rPr>
        <rFont val="Arial"/>
        <sz val="10.0"/>
      </rPr>
      <t xml:space="preserve">QR генерирует одна из наших систем. По этому QR в магазине подтягивается информация по заявлению на возврат от клиента
Описание физики процесса: </t>
    </r>
    <r>
      <rPr>
        <rFont val="Arial"/>
        <color rgb="FF1155CC"/>
        <sz val="10.0"/>
        <u/>
      </rPr>
      <t>https://docs.google.com/document/d/1Zmr8Sj2AWePHZbu1j1lDsXq5xoYjoJOm/edit</t>
    </r>
    <r>
      <rPr>
        <rFont val="Arial"/>
        <sz val="10.0"/>
      </rPr>
      <t xml:space="preserve">
В зависимости от способа забора идентификаторы возврата будут появляться в разный момент времени</t>
    </r>
  </si>
  <si>
    <t>Частичный ответ дан в других тредах: 5Post передаёт QR и цифровой код, СДЭК — только номер накладной, для магазинов QR генерируем сами.</t>
  </si>
  <si>
    <t>6.2 / 6.4 Канал — курьерская доставка</t>
  </si>
  <si>
    <t>Логистика (ТК, ПВЗ, Почта России) Артем Лисин</t>
  </si>
  <si>
    <t>Курьеры от каких ТК будут задействованы для возвратов? Дополнено: только CDEK и Dalli?</t>
  </si>
  <si>
    <t>Артем Лисин</t>
  </si>
  <si>
    <t>Сейчас:
СДЭК - вся география(кроме Москвы)
Далли Сервис ( Москва)
Хотели бы после интеграции:
СДЭК - вся география ( кроме Москвы и МО)
Далли - (Москва и МО)</t>
  </si>
  <si>
    <t>6.5 Канал — 5POST (клиент показывает сотруднику QR)</t>
  </si>
  <si>
    <t>IT-архитектура (интеграции); Логистика (ТК, ПВЗ, Почта России) Артем Лисин</t>
  </si>
  <si>
    <t xml:space="preserve">Этот QR генерирует какая система? Речь уже не про QR от партнёров, а про какой-то другой? Или опечатка в требованиях? </t>
  </si>
  <si>
    <r>
      <rPr>
        <rFont val="Arial"/>
        <sz val="10.0"/>
      </rPr>
      <t xml:space="preserve">QR генерирует одна из наших систем. По этому QR в магазине подтягивается информация по заявлению на возврат от клиента
Описание физики процесса: </t>
    </r>
    <r>
      <rPr>
        <rFont val="Arial"/>
        <color rgb="FF1155CC"/>
        <sz val="10.0"/>
        <u/>
      </rPr>
      <t>https://docs.google.com/document/d/1Zmr8Sj2AWePHZbu1j1lDsXq5xoYjoJOm/edit</t>
    </r>
    <r>
      <rPr>
        <rFont val="Arial"/>
        <sz val="10.0"/>
      </rPr>
      <t xml:space="preserve">
В зависимости от способа забора идентификаторы возврата будут появляться в разный момент времени</t>
    </r>
  </si>
  <si>
    <t>6.11 CSI и обратная связь</t>
  </si>
  <si>
    <t>Розница (операции магазинов)</t>
  </si>
  <si>
    <t>Продукт МП / сайт (UX, макеты); Разработка сайта / бэкенд Роман Пушкарь</t>
  </si>
  <si>
    <t>[tech] Должна быть интеграция с платформой Отзывов, чтобы результаты опроса приходили на платформу.</t>
  </si>
  <si>
    <t>Технический комментарий-требование, не вопрос.</t>
  </si>
  <si>
    <t>3.1 / 6.7 Почта России (список филиалов)</t>
  </si>
  <si>
    <t>Логистика (ТК, ПВЗ, Почта России); Продукт МП / сайт (UX, макеты) Артем Лисин</t>
  </si>
  <si>
    <t>[tech] Список филиалов Почты РФ должен приходить из сервиса Логистики? Дополнено 28.08: в макетах нет выбора филиала почты, указано, что клиент может отнести в любой ближайший. То есть список филиалов выводить не нужно?</t>
  </si>
  <si>
    <t>Клиентский сервис (Дружба, Retail CRM)</t>
  </si>
  <si>
    <t>03.09.2026</t>
  </si>
  <si>
    <t>1. [tech] Откуда будут приходить причины возврата? 2. Должны ли они где-то настраиваться?</t>
  </si>
  <si>
    <t>Светлана Варцаба; Елена Васильева</t>
  </si>
  <si>
    <t>Светлана: @r.pushkar — где можем настраивать причины возврата, можем ли дать настройку в админке? Елена (03.09): в админке сайта уже есть группы возврата (1-й уровень) и причины (2-й уровень) — предложение использовать готовый функционал и брать причины из админки сайта.</t>
  </si>
  <si>
    <t>Ожидается подтверждение предложения Елены.</t>
  </si>
  <si>
    <t>7.2 FR-2.3 При сканировании QR/PIN на складе</t>
  </si>
  <si>
    <t>Маркетинг / лояльность (бонусы, сертификаты, FnF)</t>
  </si>
  <si>
    <t>IT-архитектура (интеграции); Логистика (ТК, ПВЗ, Почта России); Склад (Бетта Про, WMS) Лисин Артем, Виталий Рублев</t>
  </si>
  <si>
    <t>1. Какая система генерирует этот QR-код? ТК это делает при оформлении заявки на возврат? 2. Все ли ТК смогут генерировать QR-код? Нужно прояснить, какие QR-коды на каком этапе будут использоваться. Сотрудник склада будет сканировать QR от ТК или другой? Если другой — на каком этапе он появляется, кто генерирует и не запутается ли склад?</t>
  </si>
  <si>
    <t>5Post передают QR и цифровой код для сдачи. СДЭК ПВЗ — просто номер накладной (QR не генерит). Для возвратов в магазины мы сами должны генерить QR-код.</t>
  </si>
  <si>
    <t>Не отвечено: что сканирует склад и что зашито в QR.</t>
  </si>
  <si>
    <t>3.1 Приёмка и экспертиза; возврат ДС</t>
  </si>
  <si>
    <t>Архитектор</t>
  </si>
  <si>
    <t>Владелец процесса возвратов; Склад (Бетта Про, WMS),  Оля Соколова, Виталий Рублев</t>
  </si>
  <si>
    <t>1. Нужна ли интеграция с ТК/ПВЗ по статусам, если мы эту информацию клиенту не отображаем? 2. Что происходит, если изделие не прошло экспертизу и мы не принимаем возврат? Что делаем, если аномалия: в заявлении одно изделие, а по факту другое?</t>
  </si>
  <si>
    <t>Предложите решение</t>
  </si>
  <si>
    <t>Тред закрыт без текстового ответа.</t>
  </si>
  <si>
    <t>Разработка сайта / бэкенд</t>
  </si>
  <si>
    <t>6.8 Статусы возврата / 10 Статусная модель</t>
  </si>
  <si>
    <t>Владелец процесса возвратов; Продукт МП / сайт (UX, макеты) - Предложите решение</t>
  </si>
  <si>
    <t>1. Между «Создан» и «На экспертизе» должен быть статус для ТК/ПВЗ/5POST (напр. «В пути»). 2. Статус «Принят» неинформативен, как будто финальный. 3. До «Выполнен» отдельно «ДС возвращены», далее по таймеру закрывать. 4. Что по физике процесса при отклонении возврата? 5. Нужны ли промежуточные статусы от ТК по доставке?</t>
  </si>
  <si>
    <t>Екатерина Лемешева; Светлана Варцаба</t>
  </si>
  <si>
    <t>Екатерина: согласна, нужен статус «Клиент передал товар» → «Товар в пути до склада» → «На экспертизе». Светлана: «Тут блок перепишем».</t>
  </si>
  <si>
    <t>Статусная модель будет переписана.</t>
  </si>
  <si>
    <t>7.8 FR-8.1 Передача заявления в WMS</t>
  </si>
  <si>
    <t>Автор БТ (редакторская правка)</t>
  </si>
  <si>
    <t>IT-архитектура (интеграции); Склад (Бетта Про, WMS)</t>
  </si>
  <si>
    <t>Нужно ли заявление в WMS до передачи клиентом изделий?</t>
  </si>
  <si>
    <t>Нет, нам никуда его не нужно передавать.</t>
  </si>
  <si>
    <t>Как читать таблицу</t>
  </si>
  <si>
    <t>7.3 FR-3.3 Аутлет / «Цветной»</t>
  </si>
  <si>
    <t>• Источник «БТ (Google Doc) — комментарий»: вопросы из комментариев к старым бизнес-требованиям. Ссылка открывает документ сразу на нужном комментарии (параметр disco=ID комментария).</t>
  </si>
  <si>
    <t>Розница (операции магазинов); Бизнес-заказчик / владелец процесса возвратов - Света Варцаба / Сергей Ваганов</t>
  </si>
  <si>
    <t>Если клиент придёт в магазин с покупкой из аутлета — мы его разворачиваем?</t>
  </si>
  <si>
    <t>3.1 Отказ от бумажного заявления, QR-код на коробах</t>
  </si>
  <si>
    <t>• Источник «Док. Вопросы Екатерины Лемешевой»: вопросы и ответы из вложенного файла «Вопросы по ответу Марии». Ссылка ведёт на БТ в целом; связка с БТ — в колонке «Раздел БТ».</t>
  </si>
  <si>
    <t>• Колонка «Раздел БТ (связка)» для комментариев сопоставлена по содержанию комментария и месту в документе (Google Drive не отдаёт точный якорь комментария), поэтому для отдельных строк раздел указан ориентировочно.</t>
  </si>
  <si>
    <t>• «Есть ответ»: Да — ответ дан по сути; Частично — ответ есть, но решение не финализировано или закрыта только часть вопроса; Нет — ответа нет либо ответ отложен («уточню 31.08»).</t>
  </si>
  <si>
    <t>• «Кому адресован (функция-ответчик)» — предлагаемая функция, которая должна дать ответ (первая — основная, далее — соисполнители). Разрез по функциям в сводке считает вопрос в каждой из указанных функций.</t>
  </si>
  <si>
    <t>• «Статус треда» для комментариев — статус в Google Doc (Открыт/Решён); для документа Е. Лемешевой — Закрыт, если ответ полный.</t>
  </si>
  <si>
    <t>• Источник БТ: https://docs.google.com/document/d/1rZKCC6zf38xjrW-WQuvGZcEYEMoMK7TBrHrj91QzOpA/edit</t>
  </si>
  <si>
    <t>• Дата выгрузки: 04.09.2026.</t>
  </si>
  <si>
    <t>Склад (Бетта Про, WMS) Виталий Рублев</t>
  </si>
  <si>
    <t>Откуда он его сканирует? Кто его туда наносит?</t>
  </si>
  <si>
    <r>
      <rPr>
        <rFont val="Arial"/>
        <sz val="10.0"/>
      </rPr>
      <t xml:space="preserve">Описание физики процесса: </t>
    </r>
    <r>
      <rPr>
        <rFont val="Arial"/>
        <color rgb="FF1155CC"/>
        <sz val="10.0"/>
        <u/>
      </rPr>
      <t>https://docs.google.com/document/d/1Zmr8Sj2AWePHZbu1j1lDsXq5xoYjoJOm/edit</t>
    </r>
    <r>
      <rPr>
        <rFont val="Arial"/>
        <sz val="10.0"/>
      </rPr>
      <t xml:space="preserve">
В зависимости от способа забора идентификаторы возврата будут появляться в разный момент времени</t>
    </r>
  </si>
  <si>
    <t>6.3 Розничный магазин (бумажное заявление не подписывается)</t>
  </si>
  <si>
    <t>Розница (операции магазинов); Юристы - Александр Ольховиков, Сергей Ваганов</t>
  </si>
  <si>
    <t>Что-то даём вообще клиенту? Или он сдал изделие и просто ждёт, когда вернутся деньги?</t>
  </si>
  <si>
    <t>Александр Ольховиков</t>
  </si>
  <si>
    <t>У клиента ничего на руках не остаётся. Ждёт возврата ДС
Если клиент наставивает то Заявление</t>
  </si>
  <si>
    <t>5.4 Проблемы клиента (курьерская доставка)</t>
  </si>
  <si>
    <t xml:space="preserve"> Логистика (ТК, ПВЗ, Почта России)</t>
  </si>
  <si>
    <t>Что тут изменится?</t>
  </si>
  <si>
    <t>ничего не меняется</t>
  </si>
  <si>
    <t>5.4 Проблемы клиента (возврат ДС и оформление)</t>
  </si>
  <si>
    <t>Как эти проблемы устранит целевой процесс?</t>
  </si>
  <si>
    <t>4 Роли — Склад Бетта Про (идентификация по QR/PIN)</t>
  </si>
  <si>
    <t>Откуда у Бетты возьмутся QR и PIN, они же нужны только на этапе сдачи?</t>
  </si>
  <si>
    <r>
      <rPr>
        <rFont val="Arial"/>
        <sz val="10.0"/>
      </rPr>
      <t xml:space="preserve">Описание физики процесса: </t>
    </r>
    <r>
      <rPr>
        <rFont val="Arial"/>
        <color rgb="FF1155CC"/>
        <sz val="10.0"/>
        <u/>
      </rPr>
      <t>https://docs.google.com/document/d/1Zmr8Sj2AWePHZbu1j1lDsXq5xoYjoJOm/edit</t>
    </r>
    <r>
      <rPr>
        <rFont val="Arial"/>
        <sz val="10.0"/>
      </rPr>
      <t xml:space="preserve">
В зависимости от способа забора идентификаторы возврата будут появляться в разный момент времени</t>
    </r>
  </si>
  <si>
    <t>4 Роли — Розничный магазин (сканирует QR, экспертиза, подтверждает приёмку)</t>
  </si>
  <si>
    <t>Розница (операции магазинов) Сергей Ваганов / Александр Ольховиков</t>
  </si>
  <si>
    <t>Есть ли временной лаг в РМ между приёмкой от клиента, экспертизой и подтверждением приёмки? Или это одно действие в системе — приёмка?</t>
  </si>
  <si>
    <t>Экспертиза проводится перед оформлением возврата в системе.
Считаем, что временного лага нет</t>
  </si>
  <si>
    <t>3.1 Функционал Дружбы в RCRM</t>
  </si>
  <si>
    <t>Клиентский сервис (Дружба, Retail CRM) - Ольга Соколова</t>
  </si>
  <si>
    <t>Где-то есть его описание? Как видим процесс, что нужно доработать?</t>
  </si>
  <si>
    <t>Здесь я уточню 31.08 с Retail CRM.</t>
  </si>
  <si>
    <t>Ответ отложен.</t>
  </si>
  <si>
    <t>11 Отчётность — признак исключения/аномалии и её причина</t>
  </si>
  <si>
    <t>1С / товародвижение; Склад (Бетта Про, WMS)</t>
  </si>
  <si>
    <t>Есть ли такая информация сейчас где-то? WMS или 1С?</t>
  </si>
  <si>
    <t>Нет, в 1С видим только брак и недостачи; можем подсветить проблемные документы, по которым не прошла обработка в 1С. Аномалии Бета откладывает у себя и передаёт на разбор в товародвижение; по результатам разбора товародвижение по кнопке в возврате в 1С закрывает документ.</t>
  </si>
  <si>
    <t>11 Отчётность — текущий статус и даты событий</t>
  </si>
  <si>
    <t>Финансы / бухгалтерия; Владелец процесса возвратов; Оля Соколова, Лариса Прокопенко</t>
  </si>
  <si>
    <t>Выводим текущий статус и его дату изменения, или все возможные статусы и даты их установки?</t>
  </si>
  <si>
    <t>3.1 Автосверка манифеста</t>
  </si>
  <si>
    <t>1С / товародвижение; Финансы / бухгалтерия; Оля Соколова , Артем Лисин, Лариса Прокопенко</t>
  </si>
  <si>
    <t>Что за процесс? Что является результатом автосверки?</t>
  </si>
  <si>
    <t>Светлана Варцаба; Мария Мезинова</t>
  </si>
  <si>
    <t>Светлана: сейчас сверяем манифесты и принятое складом, чтобы понять, кому пора возвращать деньги; при интеграции курьерских служб по возврату в этом нет необходимости. Мария: необходимость в сверке останется (аномалии, ошибки склада, сбой обмена с 1С) — нужен отчёт: данные манифеста vs фактически принятое на Бете.</t>
  </si>
  <si>
    <t>Разногласие: нужна ли сверка в целевом процессе.</t>
  </si>
  <si>
    <t>6.10 Обмен / 7.7</t>
  </si>
  <si>
    <t>Вопросы по изменению заявки на возврат</t>
  </si>
  <si>
    <t>Маркетинг / лояльность (бонусы, сертификаты, FnF); Бизнес-заказчик / владелец процесса возвратов</t>
  </si>
  <si>
    <t>Из этого непонятно, меняется ли что-то в функционале обмена. Нужно ли для FnF менять что-то в обмене, если будут изменения в возврате?</t>
  </si>
  <si>
    <t>не меняем процесс обмена в итерации 1</t>
  </si>
  <si>
    <t>3.1 Генерация QR-кода возврата</t>
  </si>
  <si>
    <t>IT-архитектура (интеграции); Логистика (ТК, ПВЗ, Почта России), Артем Лисин</t>
  </si>
  <si>
    <t>QR создаётся в зависимости от выбранного канала возврата? При смене канала генерируется новый QR?</t>
  </si>
  <si>
    <t>5Post передают QR и цифровой код; СДЭК ПВЗ — номер накладной; для магазинов QR генерим сами. При смене канала генерируется новый — так как должна быть новая заявка на возврат.</t>
  </si>
  <si>
    <t>Уточняющий вопрос Е. Лемешевой в этом же треде — см. следующую строку.</t>
  </si>
  <si>
    <t>Продукт МП / сайт (UX, макеты) Роман Пушкарь / Филатова Катя</t>
  </si>
  <si>
    <t>То есть, если клиент хочет поменять способ возврата (например, с 5POST на СДЭК), он должен сначала отменить текущую заявку и затем создать новую с новым способом, верно?</t>
  </si>
  <si>
    <r>
      <rPr>
        <rFont val="Arial"/>
        <color rgb="FF1155CC"/>
        <sz val="10.0"/>
      </rPr>
      <t xml:space="preserve">Екатерина Лемешева </t>
    </r>
    <r>
      <rPr>
        <rFont val="Arial"/>
        <color theme="1"/>
        <sz val="10.0"/>
      </rPr>
      <t>- в MVP, отменяем первую заявку (в ней скрываем блок штрих-код/QR-код чтобы клиент случайно не показал в канале возврата не то что требуется).Создает новую заявку с нужным ему каналом возврата и новым сформированым штрих-код/QR-код, когда ТК подтвердит заявку и мы получим обновленный статус, например, "Заявка на возврат принята".</t>
    </r>
  </si>
  <si>
    <t>Уточняющий вопрос в треде А. Колосова; подтверждение не получено.</t>
  </si>
  <si>
    <t>6.9 Возврат денежных средств / 7.6 FR-6.1</t>
  </si>
  <si>
    <t xml:space="preserve">Финансы / бухгалтерия; владелец процесса возвратов </t>
  </si>
  <si>
    <t>Давайте зафиксируем, что на данном этапе возврат ДС будет делаться вручную через кабинет мерчанта. Т.к. AS IS поведение — или подразумевается автоматизация?</t>
  </si>
  <si>
    <t>Да, возврат денежных средств должен быть вручную, но мы должны получать статусы о том, что деньги нами возвращены.</t>
  </si>
  <si>
    <t>Противоречит FR-6.1 (возврат ДС инициируется автоматически) — требует правки БТ.</t>
  </si>
  <si>
    <t>6.7 Почта России (Калининград) / 6.9 сроки возврата ДС</t>
  </si>
  <si>
    <t>Юля Завьялова/Света Варцаба</t>
  </si>
  <si>
    <t>20.08.2026</t>
  </si>
  <si>
    <t>Бизнес-заказчик / владелец процесса возвратов; Логистика (ТК, ПВЗ, Почта России) Роман Пушкарь</t>
  </si>
  <si>
    <t>В случае с Почтой из Калининграда как рассчитывать срок возврата? Посылка может задержаться, и мы не успеем провести экспертизу и вернём деньги раньше. Может, явно указать на макете? (ссылка на Figma)</t>
  </si>
  <si>
    <r>
      <rPr>
        <rFont val="Arial"/>
        <color rgb="FF1155CC"/>
        <sz val="10.0"/>
      </rPr>
      <t>Екатерина Лемешева</t>
    </r>
    <r>
      <rPr>
        <rFont val="Arial"/>
        <color theme="1"/>
        <sz val="10.0"/>
      </rPr>
      <t xml:space="preserve"> - Тут ответ получен, т к время отчета пойдет от момента попадания товара на наш склад, то отчет 10 дней на возврат ДС пойдет от этого момента. В оферте ссылаться на 10-дневный срок по ст. 26.1 ЗоЗПП, чтобы клиент не считал срок от момента создания заявки / заявления. Четко прописываем в МП/сайте «Обязанность продавца по возврату денежных средств считается наступившей с момента поступления товара на склад и подтверждения соответствия товара условиям возврата уполномоченным сотрудником». </t>
    </r>
    <r>
      <rPr>
        <rFont val="Arial"/>
        <color rgb="FFFF0000"/>
        <sz val="10.0"/>
      </rPr>
      <t>В Калининграде вроде открылся наш магазин</t>
    </r>
  </si>
  <si>
    <t>В док. Е. Лемешевой (вопр. 19–20): срок возврата ДС считается от поступления на склад + проверки; отображать клиенту.</t>
  </si>
  <si>
    <t>6.7 Канал — Почта России</t>
  </si>
  <si>
    <t>Продукт МП / сайт (UX, макеты); Логистика (ТК, ПВЗ, Почта России)</t>
  </si>
  <si>
    <t>В макетах только для Калининграда, верно? Не совсем понятно, что требуется от нашего приложения. 1. Почта — та, которая в профиле, или которую он введёт (нет поля)? 2. Накладная генерируется в нашем приложении — это что-то иное от заявления на возврат? 3. Как определять дату, до которой нужно выполнить возврат?</t>
  </si>
  <si>
    <r>
      <rPr>
        <rFont val="Arial"/>
        <color rgb="FF1155CC"/>
        <sz val="10.0"/>
      </rPr>
      <t>Екатерина Лемешева</t>
    </r>
    <r>
      <rPr>
        <rFont val="Arial"/>
        <color theme="1"/>
        <sz val="10.0"/>
      </rPr>
      <t xml:space="preserve"> - 1. email берем из заказа. 2. Про накладную не знаю ответа, кто ее создает? В BRD написан пункт: 6.7. Канал — Почта России
В окне возврата указано, что накладную отправят на email, указанный при оформлении заказа; клиенту приходит накладная.
Кто отправляет эту накладную, если он сдает на Почте? 3. Ответ получен: Калининграда / самостоятельной отправки через Почту России;(14 дней), но не понятно, как мы зафиксируем этот момент, что он его принес и отправил, если мы не интегрируемся с почтой. Если только звонок в Дружбу, чтобы они вручную изменили статус что он "В пути", чтобы по истечени времени автоматически не отменить заявку.</t>
    </r>
  </si>
  <si>
    <r>
      <rPr>
        <rFont val="Arial"/>
        <color rgb="FF1155CC"/>
        <sz val="10.0"/>
      </rPr>
      <t xml:space="preserve">Екатерина Лемешева </t>
    </r>
    <r>
      <rPr>
        <rFont val="Arial"/>
        <color theme="1"/>
        <sz val="10.0"/>
      </rPr>
      <t>- в MVP, отменяем первую заявку (в ней скрываем блок штрих-код/QR-код чтобы клиент случайно не показал в канале возврата не то что требуется).Создает новую заявку с нужным ему каналом возврата и новым сформированым штрих-код/QR-код, когда ТК подтвердит заявку и мы получим обновленный статус, например, "Заявка на возврат принята".</t>
    </r>
  </si>
  <si>
    <t>Частично закрыто док. Е. Лемешевой (вопр. 13, 25): срок 14 дней; заявление прикладывать не нужно.</t>
  </si>
  <si>
    <t>6.6 Канал — СДЭК (идентификация по номеру накладной)</t>
  </si>
  <si>
    <t>Док. «Вопросы Екатерины Лемешевой» — вопр. 9</t>
  </si>
  <si>
    <t>Логистика (ТК, ПВЗ, Почта России); IT-архитектура (интеграции) - Артм Лисин, Роман Пушкарь</t>
  </si>
  <si>
    <t>На каком этапе появляется накладная? Должна ли она попасть в МП/сайт, чтобы её видел клиент? Верно ли, что после выбора СДЭК и подтверждения возврата СДЭК получает данные и формирует накладную на своей стороне, а клиент узнаёт номер через приложение СДЭК? Или он должен знать номер через наше МП/сайт? Или имеется в виду «отсканировать штрихкод, полученный от ТК и отображённый в нашем МП/сайте»?</t>
  </si>
  <si>
    <t>6.4 Курьерская доставка</t>
  </si>
  <si>
    <t>Открыть БТ</t>
  </si>
  <si>
    <r>
      <rPr>
        <rFont val="Arial"/>
        <color theme="1"/>
        <sz val="10.0"/>
      </rPr>
      <t xml:space="preserve">"Описание физики процесса: https://docs.google.com/document/d/1Zmr8Sj2AWePHZbu1j1lDsXq5xoYjoJOm/edit
В зависимости от способа забора идентификаторы возврата будут появляться в разный момент времени"
</t>
    </r>
    <r>
      <rPr>
        <rFont val="Arial"/>
        <color rgb="FF1155CC"/>
        <sz val="10.0"/>
      </rPr>
      <t>Екатерина Лемешева</t>
    </r>
    <r>
      <rPr>
        <rFont val="Arial"/>
        <color theme="1"/>
        <sz val="10.0"/>
      </rPr>
      <t xml:space="preserve"> - Был ответ, что мы показываем у себя штрих-код и под ним номер накладной. </t>
    </r>
  </si>
  <si>
    <t>6.5 5POST — уведомление о принятой посылке</t>
  </si>
  <si>
    <t>Логистика (ТК, ПВЗ, Почта России);  Артем Лисин</t>
  </si>
  <si>
    <t>Получает от 5post или от нас? (Елена Васильева: если отправляет 5post, нужны ли настройки на их стороне?)</t>
  </si>
  <si>
    <t>Уточним с коллегами, что будет дешевле (нам самим отправить или через ПВЗ), но вообще лучше, чтобы от нас приходило.</t>
  </si>
  <si>
    <t>Артем Лисин - для транспортных (их возможности)
Юля Завьялова/Света Варцаба - для магазинов</t>
  </si>
  <si>
    <t>Решение не финализировано.</t>
  </si>
  <si>
    <t xml:space="preserve">До какого момента клиент может самостоятельно изменить выбранную дату передачи товара в рамках той же заявки? Или создаем новую, т к данные переданы в ТК? </t>
  </si>
  <si>
    <t>6.5 5POST — клиент следит за статусом</t>
  </si>
  <si>
    <t>Ответ в документе (бизнес; автор в документе не указан)</t>
  </si>
  <si>
    <t>В рамках 14 дней на возврат после получения заказа (для F&amp;F — 30). Конкретное ограничение (в день передачи / накануне до определённого времени) не задано.</t>
  </si>
  <si>
    <t>Внутренние технические вопросы</t>
  </si>
  <si>
    <t>Бизнес-заказчик / владелец процесса возвратов; Продукт МП / сайт (UX, макеты)</t>
  </si>
  <si>
    <t>Следит в каком приложении — у нас или в стороннем сервисе?</t>
  </si>
  <si>
    <t>У нас.</t>
  </si>
  <si>
    <t>6.5 5POST — клиент показывает сотруднику QR</t>
  </si>
  <si>
    <t>Логистика (ТК, ПВЗ, Почта России); Продукт МП / сайт (UX, макеты)</t>
  </si>
  <si>
    <t>Клиент показывает из СМС или из нашего приложения? Должны ли мы отобразить в МП QR/штрихкод, который сгенерировала система 5post? И аналогично СДЭК.</t>
  </si>
  <si>
    <t>Да, верно. Он может показать как из СМС, так и из приложения. СДЭК формирует только номер накладной.</t>
  </si>
  <si>
    <t>6.4 Курьер клеит наклейку со штрихкодом</t>
  </si>
  <si>
    <t>Логистика (ТК, ПВЗ, Почта России); IT-архитектура (интеграции) ; Артем Лисин, Виталий Рублев</t>
  </si>
  <si>
    <t>Где он его генерирует? Это не то же самое, что QR-код, или это штрихкод от транспортной компании, о котором наша система не должна знать?</t>
  </si>
  <si>
    <r>
      <rPr>
        <rFont val="Arial"/>
        <sz val="10.0"/>
      </rPr>
      <t xml:space="preserve">"Описание физики процесса: </t>
    </r>
    <r>
      <rPr>
        <rFont val="Arial"/>
        <color rgb="FF1155CC"/>
        <sz val="10.0"/>
        <u/>
      </rPr>
      <t>https://docs.google.com/document/d/1Zmr8Sj2AWePHZbu1j1lDsXq5xoYjoJOm/edit</t>
    </r>
    <r>
      <rPr>
        <rFont val="Arial"/>
        <sz val="10.0"/>
      </rPr>
      <t xml:space="preserve">
В зависимости от способа забора идентификаторы возврата будут появляться в разный момент времени"</t>
    </r>
  </si>
  <si>
    <t>6.3 Розничный магазин — сотрудник запрашивает QR</t>
  </si>
  <si>
    <t>Розница (операции магазинов); IT-архитектура (интеграции)</t>
  </si>
  <si>
    <t>1. Куда он должен вести или что содержать, чтобы сотрудник его отсканировал и увидел возврат? 2. Правильно ли, что он генерируется только для канала розничного магазина?</t>
  </si>
  <si>
    <t>5Post передают QR и цифровой код; СДЭК ПВЗ — номер накладной; для возвратов в магазины QR генерим сами. Он никуда не должен вести, его должен предъявить клиент (в зависимости от выбранного способа возврата).</t>
  </si>
  <si>
    <t>Содержимое QR для сканера магазина не определено.</t>
  </si>
  <si>
    <t>3.1 Обмен (онлайн — для FnF)</t>
  </si>
  <si>
    <t>31.07.2026</t>
  </si>
  <si>
    <t>Владелец БТ / РП</t>
  </si>
  <si>
    <t>Бизнес-заказчик / владелец процесса возвратов; Маркетинг / лояльность (бонусы, сертификаты, FnF)</t>
  </si>
  <si>
    <t>Онлайн обмен для всех, а не только для ФФ.</t>
  </si>
  <si>
    <t>Заметка владельца БТ — требование к правке документа.</t>
  </si>
  <si>
    <t>6.10 Обмен / 9 CRM (признак FnF)</t>
  </si>
  <si>
    <t>Маркетинг / лояльность (бонусы, сертификаты, FnF); Клиентский сервис (Дружба, Retail CRM)</t>
  </si>
  <si>
    <t>Как мы определим ФФ (если они у нас в гугл-таблице)?</t>
  </si>
  <si>
    <t>6.9 Возврат денежных средств</t>
  </si>
  <si>
    <t>Финансы / бухгалтерия; Бизнес-заказчик / владелец процесса возвратов</t>
  </si>
  <si>
    <t>Идеальный сценарий — у нас есть личный счёт клиента.</t>
  </si>
  <si>
    <t>Идея, не вопрос.</t>
  </si>
  <si>
    <t>6.10 Обмен</t>
  </si>
  <si>
    <t>Бизнес-заказчик / владелец процесса возвратов; Розница (операции магазинов)</t>
  </si>
  <si>
    <t>Нужно сделать, чтобы можно было поменять — подумать, как сделать как в ЦУМе (вернуть и доплатить).</t>
  </si>
  <si>
    <t>6.9 Возврат ДС — Бонусы</t>
  </si>
  <si>
    <t>Маркетинг / лояльность (бонусы, сертификаты, FnF); 1С / товародвижение</t>
  </si>
  <si>
    <t>Нужно, чтобы автоматически возвращались бонусы; много проблем, так как скидки в разных местах.</t>
  </si>
  <si>
    <t>6.9 Возврат ДС — Сертификат</t>
  </si>
  <si>
    <t>Маркетинг / лояльность (бонусы, сертификаты, FnF); Финансы / бухгалтерия</t>
  </si>
  <si>
    <t>Нужно вернуть на сертификат.</t>
  </si>
  <si>
    <t>+ (согласен).</t>
  </si>
  <si>
    <t>Статусная модель</t>
  </si>
  <si>
    <t>01.09.2026</t>
  </si>
  <si>
    <t>1С / товародвижение;</t>
  </si>
  <si>
    <t>Будут ли передаваться причины возврата в 1С?</t>
  </si>
  <si>
    <t>Предложите решение, не понятно для чего это нужно</t>
  </si>
  <si>
    <t>Ранее (27.08) Светлана отвечала: передавать и хранить в 1С нет необходимости; вопрос задан повторно после появления отчёта по причинам.</t>
  </si>
  <si>
    <t>Док. «Вопросы Екатерины Лемешевой» — вводный Q&amp;A</t>
  </si>
  <si>
    <t>7.1 FR-1.6 Проверка права на возврат (сроки)</t>
  </si>
  <si>
    <t>Юля Завьялова/Света Варцаба/Оля Соколова</t>
  </si>
  <si>
    <t>Установлен ли законом обязательный срок, в течение которого клиент должен передать товар после оформления заявления?</t>
  </si>
  <si>
    <t>Мария</t>
  </si>
  <si>
    <t>Нет. Мария проверила новые Правила продажи № 657 и не нашла такого срока. Судебной практики или иного регулирования по сроку физической передачи товара в ПВЗ/курьеру после оформления заявления также нет.</t>
  </si>
  <si>
    <t>Закрыт</t>
  </si>
  <si>
    <t>2.4 Способы возврата без выбора даты.</t>
  </si>
  <si>
    <t>Может ли компания самостоятельно установить срок передачи товара после оформления заявки?</t>
  </si>
  <si>
    <t>Мария; бизнес</t>
  </si>
  <si>
    <t>Да. Поскольку обязательный срок нормативно не установлен, срок можно определить внутри целевого процесса самостоятельно. Бизнес: даём 14 дней.</t>
  </si>
  <si>
    <t>6.8 Приёмка, экспертиза и статусы / 6.3 РМ</t>
  </si>
  <si>
    <t>Склад (Бетта Про, WMS); Розница (операции магазинов)</t>
  </si>
  <si>
    <t>Где проводится проверка возвращаемого товара?</t>
  </si>
  <si>
    <t>При возврате через курьера/ПВЗ товар на месте не проверяется — проверка после поступления на склад. При возврате в розничный магазин сотрудник проверяет товар при приёме.</t>
  </si>
  <si>
    <t>4 Фактическая передача товара.</t>
  </si>
  <si>
    <t>6.7 Почта России / 7.3 FR-3.8</t>
  </si>
  <si>
    <t>Кто оплачивает доставку возвращаемого товара при браке?</t>
  </si>
  <si>
    <t>Продавец.</t>
  </si>
  <si>
    <t>6 Расходы на доставку возврата.</t>
  </si>
  <si>
    <t>Кто оплачивает доставку при возврате товара надлежащего качества, который просто не подошёл?</t>
  </si>
  <si>
    <t>Определяется условиями оферты. Компания вправе закрепить, что доставку оплачивает клиент. Бизнес: решается как сейчас.</t>
  </si>
  <si>
    <t>Док. «Вопросы Екатерины Лемешевой» — вопр. 1</t>
  </si>
  <si>
    <t>6.9 Возврат ДС / 7.6 FR-6.3 (реквизиты счёта)</t>
  </si>
  <si>
    <t>Оставляем ли текущий набор банковских реквизитов при запросе в МП и на сайте: ФИО, БИК, название банка, ИНН банка, номер лицевого счёта, номер банковской карты?</t>
  </si>
  <si>
    <t>Нужны: полное ФИО держателя счёта; БИК банка получателя; номер лицевого счёта физ. лица; номер банковской карты/договора — обязательно, если счёт кредитный (начинается с 30232810…). Если счёт обычный (40817810…), номер карты не обязателен — банк пропустит платёж; для кредитного счёта без номера карты/договора банк отклонит платёж.</t>
  </si>
  <si>
    <t>1.1 Состав банковских реквизитов. Название банка и ИНН банка в ответе не упомянуты — уточнить, исключаются ли.</t>
  </si>
  <si>
    <t>Док. «Вопросы Екатерины Лемешевой» — вопр. 2</t>
  </si>
  <si>
    <t>6.9 Возврат ДС / 7.6 FR-6.3</t>
  </si>
  <si>
    <t>Финансы / бухгалтерия; Юристы</t>
  </si>
  <si>
    <t>Относится ли минимальный набор «номер счёта + банк» к данным, которые мы запрашиваем у клиента в МП/на сайте, или только к составу электронного заявления?</t>
  </si>
  <si>
    <t>Дан единый перечень реквизитов (см. вопр. 1); разделение «запрос в МП» vs «состав заявления» явно не прокомментировано.</t>
  </si>
  <si>
    <t>1.1 Состав банковских реквизитов.</t>
  </si>
  <si>
    <t>Док. «Вопросы Екатерины Лемешевой» — вопр. 3</t>
  </si>
  <si>
    <t>Должен ли клиент иметь возможность скачать сформированное электронное заявление из МП/сайта после его оформления?</t>
  </si>
  <si>
    <t>ДА. Заявления не храним, но даём возможность сформировать как клиенту, так и нам из базы сайта. Скачать должно быть можно.</t>
  </si>
  <si>
    <t>1.2 Электронное заявление.</t>
  </si>
  <si>
    <t>Док. «Вопросы Екатерины Лемешевой» — вопр. 4</t>
  </si>
  <si>
    <t>3.1 Электронное заявление (хранение)</t>
  </si>
  <si>
    <t>IT-архитектура (интеграции); Юристы</t>
  </si>
  <si>
    <t>Какая система должна быть мастер-системой для хранения электронного заявления?</t>
  </si>
  <si>
    <t>Решили не хранить</t>
  </si>
  <si>
    <t>1.2 Электронное заявление. Открыт; см. также комментарий Е. Лемешевой в БТ (AAACFDssjVQ) — Светлана: «разбираюсь». Противоречие: в комментариях БТ — хранить 5 лет, в документе — «не храним, формируем из базы сайта».</t>
  </si>
  <si>
    <t>Док. «Вопросы Екатерины Лемешевой» — вопр. 5</t>
  </si>
  <si>
    <t>3.1 Электронное заявление (шаблон)</t>
  </si>
  <si>
    <t>Какой финальный шаблон электронного заявления используем в целевом процессе с учётом текущего заявления и примера LIME?</t>
  </si>
  <si>
    <t>Катя приложила (шаблон). Финальное утверждение шаблона не зафиксировано.</t>
  </si>
  <si>
    <t>Причины возвратов</t>
  </si>
  <si>
    <t>Док. «Вопросы Екатерины Лемешевой» — вопр. 6</t>
  </si>
  <si>
    <t>Бизнес-заказчик / владелец процесса возвратов; Юристы</t>
  </si>
  <si>
    <t>Нужно ли учитывать срок 30 дней в каком-либо сценарии, или для всех сценариев период оформления возврата от получения товара — 14 дней, для F&amp;F — 31 день?</t>
  </si>
  <si>
    <t>Все, кроме F&amp;F — 14 дней на подачу заявления с момента доставки заказа клиенту. Для F&amp;F — 30 дней на подачу заявления с момента доставки.</t>
  </si>
  <si>
    <t>2.1 Общий срок возврата. В БТ и в вопросе фигурирует 31 день для FnF, в ответе — 30. Требует единой цифры.</t>
  </si>
  <si>
    <t>Док. «Вопросы Екатерины Лемешевой» — вопр. 7</t>
  </si>
  <si>
    <t>6.3–6.7 Каналы возврата</t>
  </si>
  <si>
    <t>Бизнес-заказчик / владелец процесса возвратов; Логистика (ТК, ПВЗ, Почта России)</t>
  </si>
  <si>
    <t>Для каких способов возврата клиент должен выбирать конкретную дату передачи товара? (курьер — да; СДЭК ПВЗ, 5Post, розничный магазин, Калининград — нет)</t>
  </si>
  <si>
    <t>Всё верно. Курьер — дата выбирается; СДЭК ПВЗ — нет; 5Post, розничный магазин, Калининград (Почта России самостоятельно) — дата не выбирается, клиент должен отправить/передать возврат в течение 14 дней.</t>
  </si>
  <si>
    <t>2.2 Выбор даты передачи.</t>
  </si>
  <si>
    <t>Док. «Вопросы Екатерины Лемешевой» — вопр. 8</t>
  </si>
  <si>
    <t>6.4 Курьерская доставка / 10 Статусная модель</t>
  </si>
  <si>
    <t>Если выбранная дата передачи наступает до окончания общего срока возврата и товар не передан — прекращается ли заявка в этот день или действует до конца общего срока? Отменяется ли автоматически? Как работает логика для курьера и ПВЗ с назначенной датой?</t>
  </si>
  <si>
    <t>Заявление подаётся в течение 14 дней с доставки; срок передачи определяется п. 2.1. Если клиент в указанные сроки не передал возврат — заявление аннулируется. Если не передал в выбранную дату, может оформить заново после аннулирования, пока не вышел срок подачи. Если срок подачи вышел — оформить заново нельзя. Заявка работает до тех пор, пока не выйдет срок.</t>
  </si>
  <si>
    <t>2.3.1 Пропуск выбранной даты.</t>
  </si>
  <si>
    <t>2.3.1 Изменение даты.</t>
  </si>
  <si>
    <t>Док. «Вопросы Екатерины Лемешевой» — вопр. 10</t>
  </si>
  <si>
    <t>6.1 / FR-1.4 Отмена возврата</t>
  </si>
  <si>
    <t>Если после пропуска даты право на возврат сохраняется — клиент выбирает новую дату в текущей заявке или оформляет новую?</t>
  </si>
  <si>
    <t>Да, клиент оформляет новую заявку.</t>
  </si>
  <si>
    <t>2.3.1 Продолжение возврата после пропуска даты.</t>
  </si>
  <si>
    <t>Дарья Ким</t>
  </si>
  <si>
    <t>Док. «Вопросы Екатерины Лемешевой» — вопр. 11</t>
  </si>
  <si>
    <t>7.1 FR-1.6 (сроки)</t>
  </si>
  <si>
    <t>Если клиент оформляет заявку в последний день общего срока, разрешаем ли выбрать дату передачи за пределами срока? Оставляем текущую логику +3 дня?</t>
  </si>
  <si>
    <t>Клиенту даём одинаковое количество дней независимо от того, когда он оформил заявку на возврат.</t>
  </si>
  <si>
    <t>2.3.2 Последняя доступная дата. Формулировка требует уточнения: сколько именно дней на передачу после оформления (см. вопр. 13 — 14 дней).</t>
  </si>
  <si>
    <t>Док. «Вопросы Екатерины Лемешевой» — вопр. 12</t>
  </si>
  <si>
    <t>Бизнес-заказчик / владелец процесса возвратов; Клиентский сервис (Дружба, Retail CRM)</t>
  </si>
  <si>
    <t>Если клиент выбрал последнюю доступную дату и не передал товар — дата окончательная или даётся дополнительное время? Если нет — заявка отменяется и возврат исчерпан?</t>
  </si>
  <si>
    <t>Возможность подать заявку на возврат исчерпана (только решать через Дружбу).</t>
  </si>
  <si>
    <t>2.3.2 Последняя доступная дата.</t>
  </si>
  <si>
    <t>Док. «Вопросы Екатерины Лемешевой» — вопр. 13</t>
  </si>
  <si>
    <t>6.5 5POST / 6.3 РМ / 6.7 Почта России</t>
  </si>
  <si>
    <t>Логистика (ТК, ПВЗ, Почта России); Бизнес-заказчик / владелец процесса возвратов</t>
  </si>
  <si>
    <t>Для способов без выбора даты — до какого момента клиент должен передать/отправить товар: до конца общего срока от получения или отдельный срок после оформления заявки? (5Post, розничный магазин, Калининград, прочие)</t>
  </si>
  <si>
    <t>5Post — по нормативу 5Post; розничный магазин — 14 дней; Калининград / Почта России — 14 дней; другие способы без выбора даты — 14 дней.</t>
  </si>
  <si>
    <t>2.4.1 Срок передачи без выбора даты. Норматив 5Post нужно зафиксировать числом.</t>
  </si>
  <si>
    <t>Док. «Вопросы Екатерины Лемешевой» — вопр. 14</t>
  </si>
  <si>
    <t>7.4 FR-4.3 Раздел «Возвраты» (сроки, блок «что дальше»)</t>
  </si>
  <si>
    <t>Где и в каком виде показываем клиенту конечную дату передачи товара, если дату он не выбирает? Нужно ли сразу сообщать об автоматической отмене?</t>
  </si>
  <si>
    <t>Нужно! Показывать срок на макете и предупреждать: «Передайте/отправьте товар до такой-то даты. После этой даты заявка будет отменена». Конкретное место на макете не указано.</t>
  </si>
  <si>
    <t>2.4.2 Отображение конечного срока.</t>
  </si>
  <si>
    <t>Док. «Вопросы Екатерины Лемешевой» — вопр. 15</t>
  </si>
  <si>
    <t>10 Статусная модель / 7.10 Уведомления</t>
  </si>
  <si>
    <t>После наступления конечной даты передачи заявка отменяется в этот же день или даётся дополнительное время?</t>
  </si>
  <si>
    <t>Отменяется по истечении дня: клиенту приходит уведомление за 24 часа о последнем дне на передачу возврата, заявка отменяется на следующий день.</t>
  </si>
  <si>
    <t>2.4.3 Автоотмена.</t>
  </si>
  <si>
    <t>Док. «Вопросы Екатерины Лемешевой» — вопр. 16</t>
  </si>
  <si>
    <t>10 Статусная модель</t>
  </si>
  <si>
    <t>Если после окончания конечного срока предоставляется дополнительное время — сколько оно составляет?</t>
  </si>
  <si>
    <t>Везде должен быть срок отправки (дополнительное время не предусмотрено — следует из ответа 15).</t>
  </si>
  <si>
    <t>Док. «Вопросы Екатерины Лемешевой» — вопр. 17</t>
  </si>
  <si>
    <t>6.8 / 10 Статусная модель (статус «Клиент передал товар»)</t>
  </si>
  <si>
    <t>Логистика (ТК, ПВЗ, Почта России); IT-архитектура (интеграции)</t>
  </si>
  <si>
    <t>Какое событие для каждого канала считается фактической передачей товара клиентом и достаточно ли его, чтобы считать, что клиент выполнил свою часть, даже если товар не поступил на склад?</t>
  </si>
  <si>
    <t>Опираться на статусы курьерских служб: курьер — принят курьером; СДЭК ПВЗ — принят в ПВЗ; 5Post — принят в постамате/ПВЗ; розничный магазин — принят сотрудником; Калининград — приём отправления Почтой России, если это возможно.</t>
  </si>
  <si>
    <t>Док. «Вопросы Екатерины Лемешевой» — вопр. 18</t>
  </si>
  <si>
    <t>7.8 FR-8.4 Аномалии / очередь исключений</t>
  </si>
  <si>
    <t>Склад (Бетта Про, WMS); Клиентский сервис (Дружба, Retail CRM)</t>
  </si>
  <si>
    <t>Если клиент передал товар в канал возврата, но товар утрачен/повреждён при доставке до склада — считается ли клиент выполнившим свою часть и как обрабатывается возврат?</t>
  </si>
  <si>
    <t>Это разбор аномалий на складе: склад определяет аномалию и передаёт в Дружбу для решения проблемы с клиентом.</t>
  </si>
  <si>
    <t>Док. «Вопросы Екатерины Лемешевой» — вопр. 19</t>
  </si>
  <si>
    <t>6.9 / 7.6 FR-6.1 / 13 Допущения (момент инициации возврата ДС)</t>
  </si>
  <si>
    <t>Юристы; Финансы / бухгалтерия</t>
  </si>
  <si>
    <t>Подтверждаем ли точку отсчёта для возврата ДС: поступление товара на склад + подтверждение соответствия условиям возврата уполномоченным сотрудником?</t>
  </si>
  <si>
    <t>Подтверждаем. В оферте — до 10 дней, но хотим возвращать в течение 1–3 дней (далее зависит от банка клиента).</t>
  </si>
  <si>
    <t>5 Поступление на склад и возврат денег.</t>
  </si>
  <si>
    <t>Док. «Вопросы Екатерины Лемешевой» — вопр. 20</t>
  </si>
  <si>
    <t>7.4 FR-4.3 Раздел «Возвраты»</t>
  </si>
  <si>
    <t>Продукт МП / сайт (UX, макеты); Юристы</t>
  </si>
  <si>
    <t>Подтверждаем, что клиенту нужно явно сообщать точку отсчёта срока возврата ДС (поступление на склад + проверка) и отображать это в МП/сайте?</t>
  </si>
  <si>
    <t>Подтверждаем! Делаем аналогично LIME (сроки от даты поступления на склад).</t>
  </si>
  <si>
    <t>Док. «Вопросы Екатерины Лемешевой» — вопр. 21</t>
  </si>
  <si>
    <t>Если да, то где на макете должна быть эта надпись / на каком этапе?</t>
  </si>
  <si>
    <t>5 Поступление на склад и возврат денег. Открыт.</t>
  </si>
  <si>
    <t>Док. «Вопросы Екатерины Лемешевой» — вопр. 22</t>
  </si>
  <si>
    <t>6.3 Розничный магазин / 7.6</t>
  </si>
  <si>
    <t>Розница (операции магазинов); Финансы / бухгалтерия</t>
  </si>
  <si>
    <t>Для возврата в розничный магазин от какого события начинается 10-дневный срок возврата ДС: от приёма и проверки товара в магазине?</t>
  </si>
  <si>
    <t>Магазин принял возврат.</t>
  </si>
  <si>
    <t>Док. «Вопросы Екатерины Лемешевой» — вопр. 23</t>
  </si>
  <si>
    <t>Вопросы к бизнес-заказчику</t>
  </si>
  <si>
    <t>Бизнес-заказчик / владелец процесса возвратов; Финансы / бухгалтерия</t>
  </si>
  <si>
    <t>Кто оплачивает доставку при возврате товара надлежащего качества — клиент или компания? Какое правило закрепляем в целевом процессе и оферте?</t>
  </si>
  <si>
    <t>Компания.</t>
  </si>
  <si>
    <t>6.1 Правило оплаты доставки. Расходится с ответом Марии/бизнеса выше («решается как сейчас») и с БТ 6.7 («клиент оплачивает расходы по доставке») — требует единого решения.</t>
  </si>
  <si>
    <t>Док. «Вопросы Екатерины Лемешевой» — вопр. 24</t>
  </si>
  <si>
    <t>6.7 / 7.3 FR-3.8</t>
  </si>
  <si>
    <t>Какие существующие причины возврата должны автоматически означать, что доставка возврата оплачивается продавцом как возврат товара с браком?</t>
  </si>
  <si>
    <t>Любые.</t>
  </si>
  <si>
    <t>6.1 Правило оплаты доставки.</t>
  </si>
  <si>
    <t>Док. «Вопросы Екатерины Лемешевой» — вопр. 24.1</t>
  </si>
  <si>
    <t>7.5 Приёмка и экспертиза</t>
  </si>
  <si>
    <t>Владелец процесса возвратов; Склад (Бетта Про, WMS); Виталий Рублев</t>
  </si>
  <si>
    <t>На каком этапе считаем, что брак подтверждён и доставка возврата оплачивается продавцом: по выбранной клиентом причине или только после проверки/экспертизы?</t>
  </si>
  <si>
    <t>6.1 Правило оплаты доставки. Открыт.</t>
  </si>
  <si>
    <t>Док. «Вопросы Екатерины Лемешевой» — вопр. 24.2</t>
  </si>
  <si>
    <t>7.5 FR-5.3 / 5.4</t>
  </si>
  <si>
    <t>Владелец процесса возвратов; Финансы / бухгалтерия; Клиентский сервис (Дружба, Retail CRM)</t>
  </si>
  <si>
    <t>Если клиент выбрал причину «брак», но по итогам проверки брак не подтвердился — что с оплатой доставки и с процессом в целом?</t>
  </si>
  <si>
    <t>Обратиться к Оле Соколовой; на первом этапе оставляем решение как есть сейчас.</t>
  </si>
  <si>
    <t>Док. «Вопросы Екатерины Лемешевой» — вопр. 25</t>
  </si>
  <si>
    <t>Правильно ли зафиксирован целевой сценарий для Калининграда: клиент оформляет заявку, скачивает и прикладывает бланк заявления и самостоятельно отправляет товар через Почту России?</t>
  </si>
  <si>
    <t>Клиенту не нужно прикладывать заявление.</t>
  </si>
  <si>
    <t>6.2 Калининград.</t>
  </si>
  <si>
    <t>Док. «Вопросы Екатерины Лемешевой» — вопр. 26</t>
  </si>
  <si>
    <t>6.7 Канал — Почта России (расходы по доставке)</t>
  </si>
  <si>
    <t>Финансы / бухгалтерия; Логистика (ТК, ПВЗ, Почта России); Ольга Соколова, Лариса Прокопенко</t>
  </si>
  <si>
    <t>Как компенсировать клиенту из Калининграда расход на самостоятельную отправку через Почту России при возврате по браку? (кто платит изначально, как узнаём стоимость, нужен ли чек, способ и момент компенсации, инструкция в карточке возврата)</t>
  </si>
  <si>
    <t>6.2 Калининград. Открыт; раздел помечен «уточнить у Оли Соколовой».</t>
  </si>
  <si>
    <t>Здесь Бизнес заказчик не ответит, здесь нужно предложение - насколько я услышала от Виталия - это 1С</t>
  </si>
  <si>
    <t>Док. «Вопросы Екатерины Лемешевой» — вопр. 27</t>
  </si>
  <si>
    <t>Если после формирования электронного заявления клиент изменяет данные заявки, входящие в заявление — оно обновляется или формируется новая версия?</t>
  </si>
  <si>
    <t>Клиент может внести изменения только через Дружбу либо отменить возврат и оформить заново. Если в заявлении есть данные, которые могут измениться, нужен зафиксированный пример шаблона.</t>
  </si>
  <si>
    <t>7 Изменение заявки после формирования заявления.</t>
  </si>
  <si>
    <t>Док. «Вопросы Екатерины Лемешевой» — вопр. 28</t>
  </si>
  <si>
    <t>Юристы; IT-архитектура (интеграции)</t>
  </si>
  <si>
    <t>Что происходит с предыдущей версией заявления: сохраняется или заменяется новой?</t>
  </si>
  <si>
    <t>Сохраняется.</t>
  </si>
  <si>
    <t>Док. «Вопросы Екатерины Лемешевой» — вопр. 29</t>
  </si>
  <si>
    <t>10 Статусная модель / 3.1 Электронное заявление</t>
  </si>
  <si>
    <t>Что происходит с электронным заявлением, если заявка автоматически отменяется из-за непередачи товара в срок?</t>
  </si>
  <si>
    <t>Заявление получает статус отменённого/аннулированного.</t>
  </si>
  <si>
    <t>Док. «Вопросы Екатерины Лемешевой» — вопр. 30</t>
  </si>
  <si>
    <t>3.1 Электронное заявление</t>
  </si>
  <si>
    <t>Если после отмены клиент оформляет новую заявку — формируется новое электронное заявление, а предыдущее сохраняется отдельно?</t>
  </si>
  <si>
    <t>Верно.</t>
  </si>
  <si>
    <t>Оля Соколова/Лариса Прокопенко</t>
  </si>
  <si>
    <t>Варцаба Света</t>
  </si>
  <si>
    <t>Завьялова Юля / Света Варцаба</t>
  </si>
  <si>
    <t>Оля Соклова</t>
  </si>
  <si>
    <t>Варцаба Светлана/ Завьялова Юля</t>
  </si>
  <si>
    <t>Клиентский сервис + заказчик</t>
  </si>
  <si>
    <t xml:space="preserve">Клиентский сервис (Дружба, Retail CRM) </t>
  </si>
  <si>
    <t>Клиентский сервис (Дружба, Retail CRM) 
Бизнес-заказчик / владелец процесса возвратов</t>
  </si>
  <si>
    <t>Склад</t>
  </si>
  <si>
    <t>Склад
Бухгалтерия</t>
  </si>
  <si>
    <t>Продукт МП / сайт</t>
  </si>
  <si>
    <t>Бизнес-заказчик / владелец процесса возвратов
Продукт МП / сайт</t>
  </si>
  <si>
    <t>Бизнес-заказчик / владелец процесса возвратов; 
Логистика
Продукт МП / сайт</t>
  </si>
  <si>
    <t>В макетах только для Калининграда, верно? Не совсем понятно, что требуется от нашего приложения. 1. Накладная отправляется на почту которая была указана в заказе? 2. Где генерируется накладная, откуда она отправляется? 3. Как определять дату, до которой нужно выполнить возврат?</t>
  </si>
  <si>
    <r>
      <rPr>
        <rFont val="Arial"/>
        <color rgb="FF1155CC"/>
        <sz val="10.0"/>
      </rPr>
      <t>Екатерина Лемешева</t>
    </r>
    <r>
      <rPr>
        <rFont val="Arial"/>
        <color theme="1"/>
        <sz val="10.0"/>
      </rPr>
      <t xml:space="preserve"> - 1. email берем из заказа. 2. Про накладную не знаю ответа, кто ее создает? В BRD написан пункт: 6.7. Канал — Почта России
В окне возврата указано, что накладную отправят на email, указанный при оформлении заказа; клиенту приходит накладная.
Кто отправляет эту накладную, если он сдает на Почте? 3. Ответ получен: Калининграда / самостоятельной отправки через Почту России;(14 дней), но не понятно, как мы зафиксируем этот момент, что он его принес и отправил, если мы не интегрируемся с почтой. Если только звонок в Дружбу, чтобы они вручную изменили статус что он "В пути", чтобы по истечени времени ("от бездействия") автоматически не отменить заявку.</t>
    </r>
  </si>
  <si>
    <t xml:space="preserve">Бизнес-заказчик / владелец процесса возвратов; 
Логистика
Продукт МП / сайт
</t>
  </si>
  <si>
    <r>
      <rPr>
        <rFont val="Arial"/>
        <color rgb="FF1155CC"/>
        <sz val="10.0"/>
      </rPr>
      <t>Екатерина Лемешева</t>
    </r>
    <r>
      <rPr>
        <rFont val="Arial"/>
        <color theme="1"/>
        <sz val="10.0"/>
      </rPr>
      <t xml:space="preserve"> - Тут ответ получен, т к время отчета пойдет от момента попадания товара на наш склад, то отчет 10 дней на возврат ДС пойдет от этого момента. В оферте ссылаться на 10-дневный срок по ст. 26.1 ЗоЗПП, чтобы клиент не считал срок от момента создания заявки / заявления. Четко прописываем в МП/сайте «Обязанность продавца по возврату денежных средств считается наступившей с момента поступления товара на склад и подтверждения соответствия товара условиям возврата уполномоченным сотрудником». </t>
    </r>
    <r>
      <rPr>
        <rFont val="Arial"/>
        <color rgb="FFFF0000"/>
        <sz val="10.0"/>
      </rPr>
      <t>В Калининграде вроде открылся наш магазин</t>
    </r>
  </si>
  <si>
    <t>Продукт МП / сайт
Финансы / бухгалтерия;</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</si>
</sst>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0.0"/>
      <color rgb="FFFFFFFF"/>
      <name val="Arial"/>
    </font>
    <font>
      <sz val="10.0"/>
      <color theme="1"/>
      <name val="Arial"/>
    </font>
    <font>
      <u/>
      <sz val="10.0"/>
      <color rgb="FF0563C1"/>
      <name val="Arial"/>
    </font>
    <font>
      <color theme="1"/>
      <name val="Calibri"/>
      <scheme val="minor"/>
    </font>
    <font>
      <b/>
      <sz val="10.0"/>
      <color theme="1"/>
      <name val="Arial"/>
    </font>
    <font>
      <u/>
      <color theme="1"/>
      <name val="Calibri"/>
      <scheme val="minor"/>
    </font>
    <font>
      <u/>
      <sz val="10.0"/>
      <color rgb="FF0000FF"/>
      <name val="Arial"/>
    </font>
    <font>
      <u/>
      <color rgb="FF0000FF"/>
    </font>
    <font>
      <u/>
      <color rgb="FFFF0000"/>
    </font>
    <font>
      <color rgb="FFFF0000"/>
      <name val="Calibri"/>
      <scheme val="minor"/>
    </font>
    <font>
      <u/>
      <sz val="10.0"/>
      <color rgb="FF0563C1"/>
      <name val="Arial"/>
    </font>
    <font>
      <sz val="10.0"/>
      <color rgb="FF000000"/>
      <name val="Arial"/>
    </font>
    <font>
      <b/>
      <sz val="12.0"/>
      <color theme="1"/>
      <name val="Arial"/>
    </font>
    <font/>
    <font>
      <sz val="10.0"/>
      <color rgb="FF0563C1"/>
      <name val="Arial"/>
    </font>
    <font>
      <sz val="10.0"/>
      <color theme="1"/>
      <name val="Calibri"/>
    </font>
    <font>
      <u/>
      <sz val="10.0"/>
      <color rgb="FF0563C1"/>
      <name val="Arial"/>
    </font>
  </fonts>
  <fills count="7">
    <fill>
      <patternFill patternType="none"/>
    </fill>
    <fill>
      <patternFill patternType="lightGray"/>
    </fill>
    <fill>
      <patternFill patternType="solid">
        <fgColor rgb="FF1F3864"/>
        <bgColor rgb="FF1F3864"/>
      </patternFill>
    </fill>
    <fill>
      <patternFill patternType="solid">
        <fgColor rgb="FFF8CBAD"/>
        <bgColor rgb="FFF8CBAD"/>
      </patternFill>
    </fill>
    <fill>
      <patternFill patternType="solid">
        <fgColor rgb="FFFFF2CC"/>
        <bgColor rgb="FFFFF2CC"/>
      </patternFill>
    </fill>
    <fill>
      <patternFill patternType="solid">
        <fgColor rgb="FFE2EFDA"/>
        <bgColor rgb="FFE2EFDA"/>
      </patternFill>
    </fill>
    <fill>
      <patternFill patternType="solid">
        <fgColor rgb="FFFFFFFF"/>
        <bgColor rgb="FFFFFFFF"/>
      </patternFill>
    </fill>
  </fills>
  <borders count="5">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0" fontId="2" numFmtId="0" xfId="0" applyAlignment="1" applyBorder="1" applyFont="1">
      <alignment shrinkToFit="0" vertical="top" wrapText="1"/>
    </xf>
    <xf borderId="1" fillId="2" fontId="1" numFmtId="0" xfId="0" applyAlignment="1" applyBorder="1" applyFill="1" applyFont="1">
      <alignment horizontal="center" shrinkToFit="0" vertical="bottom" wrapText="1"/>
    </xf>
    <xf borderId="1" fillId="0" fontId="3" numFmtId="0" xfId="0" applyAlignment="1" applyBorder="1" applyFont="1">
      <alignment shrinkToFit="0" vertical="top" wrapText="1"/>
    </xf>
    <xf borderId="1" fillId="0" fontId="2" numFmtId="0" xfId="0" applyAlignment="1" applyBorder="1" applyFont="1">
      <alignment shrinkToFit="0" vertical="bottom" wrapText="0"/>
    </xf>
    <xf borderId="0" fillId="0" fontId="4" numFmtId="0" xfId="0" applyAlignment="1" applyFont="1">
      <alignment readingOrder="0" shrinkToFit="0" wrapText="1"/>
    </xf>
    <xf borderId="1" fillId="0" fontId="2" numFmtId="0" xfId="0" applyAlignment="1" applyBorder="1" applyFont="1">
      <alignment readingOrder="0" shrinkToFit="0" vertical="top" wrapText="1"/>
    </xf>
    <xf borderId="0" fillId="0" fontId="4" numFmtId="0" xfId="0" applyAlignment="1" applyFont="1">
      <alignment readingOrder="0"/>
    </xf>
    <xf borderId="1" fillId="3" fontId="2" numFmtId="0" xfId="0" applyAlignment="1" applyBorder="1" applyFill="1" applyFont="1">
      <alignment shrinkToFit="0" vertical="top" wrapText="1"/>
    </xf>
    <xf borderId="0" fillId="0" fontId="4" numFmtId="0" xfId="0" applyAlignment="1" applyFont="1">
      <alignment shrinkToFit="0" wrapText="1"/>
    </xf>
    <xf borderId="0" fillId="0" fontId="4" numFmtId="0" xfId="0" applyAlignment="1" applyFont="1">
      <alignment readingOrder="0" shrinkToFit="0" vertical="top" wrapText="1"/>
    </xf>
    <xf borderId="1" fillId="4" fontId="2" numFmtId="0" xfId="0" applyAlignment="1" applyBorder="1" applyFill="1" applyFont="1">
      <alignment shrinkToFit="0" vertical="top" wrapText="1"/>
    </xf>
    <xf borderId="1" fillId="5" fontId="2" numFmtId="0" xfId="0" applyAlignment="1" applyBorder="1" applyFill="1" applyFont="1">
      <alignment shrinkToFit="0" vertical="top" wrapText="1"/>
    </xf>
    <xf borderId="1" fillId="0" fontId="5" numFmtId="0" xfId="0" applyAlignment="1" applyBorder="1" applyFont="1">
      <alignment shrinkToFit="0" vertical="bottom" wrapText="0"/>
    </xf>
    <xf borderId="0" fillId="0" fontId="6" numFmtId="0" xfId="0" applyAlignment="1" applyFont="1">
      <alignment readingOrder="0" shrinkToFit="0" wrapText="1"/>
    </xf>
    <xf borderId="1" fillId="0" fontId="7" numFmtId="0" xfId="0" applyAlignment="1" applyBorder="1" applyFont="1">
      <alignment readingOrder="0" shrinkToFit="0" vertical="top"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0" xfId="0" applyAlignment="1" applyFont="1">
      <alignment readingOrder="0" shrinkToFit="0" wrapText="1"/>
    </xf>
    <xf borderId="1" fillId="0" fontId="11" numFmtId="0" xfId="0" applyAlignment="1" applyBorder="1" applyFont="1">
      <alignment readingOrder="0" shrinkToFit="0" vertical="top" wrapText="1"/>
    </xf>
    <xf borderId="1" fillId="0" fontId="12" numFmtId="0" xfId="0" applyAlignment="1" applyBorder="1" applyFont="1">
      <alignment shrinkToFit="0" vertical="top" wrapText="1"/>
    </xf>
    <xf borderId="0" fillId="0" fontId="5" numFmtId="0" xfId="0" applyAlignment="1" applyFont="1">
      <alignment shrinkToFit="0" vertical="top" wrapText="1"/>
    </xf>
    <xf borderId="0" fillId="0" fontId="2" numFmtId="0" xfId="0" applyAlignment="1" applyFont="1">
      <alignment shrinkToFit="0" vertical="top" wrapText="1"/>
    </xf>
    <xf borderId="2" fillId="0" fontId="13" numFmtId="0" xfId="0" applyAlignment="1" applyBorder="1" applyFont="1">
      <alignment readingOrder="0" shrinkToFit="0" vertical="top" wrapText="1"/>
    </xf>
    <xf borderId="3" fillId="0" fontId="14" numFmtId="0" xfId="0" applyBorder="1" applyFont="1"/>
    <xf borderId="4" fillId="0" fontId="14" numFmtId="0" xfId="0" applyBorder="1" applyFont="1"/>
    <xf borderId="1" fillId="0" fontId="15" numFmtId="0" xfId="0" applyAlignment="1" applyBorder="1" applyFont="1">
      <alignment shrinkToFit="0" vertical="top" wrapText="1"/>
    </xf>
    <xf borderId="1" fillId="0" fontId="13" numFmtId="0" xfId="0" applyAlignment="1" applyBorder="1" applyFont="1">
      <alignment readingOrder="0" shrinkToFit="0" vertical="top" wrapText="1"/>
    </xf>
    <xf borderId="1" fillId="0" fontId="2" numFmtId="0" xfId="0" applyAlignment="1" applyBorder="1" applyFont="1">
      <alignment horizontal="right" shrinkToFit="0" vertical="top" wrapText="1"/>
    </xf>
    <xf borderId="1" fillId="0" fontId="16" numFmtId="0" xfId="0" applyAlignment="1" applyBorder="1" applyFont="1">
      <alignment vertical="top"/>
    </xf>
    <xf borderId="0" fillId="0" fontId="16" numFmtId="0" xfId="0" applyAlignment="1" applyFont="1">
      <alignment vertical="bottom"/>
    </xf>
    <xf borderId="0" fillId="0" fontId="17" numFmtId="0" xfId="0" applyAlignment="1" applyFont="1">
      <alignment readingOrder="0" shrinkToFit="0" vertical="top" wrapText="1"/>
    </xf>
    <xf borderId="0" fillId="0" fontId="2" numFmtId="0" xfId="0" applyAlignment="1" applyFont="1">
      <alignment readingOrder="0" shrinkToFit="0" vertical="top" wrapText="1"/>
    </xf>
    <xf borderId="0" fillId="3" fontId="2" numFmtId="0" xfId="0" applyAlignment="1" applyFill="1" applyFont="1">
      <alignment shrinkToFit="0" vertical="top" wrapText="1"/>
    </xf>
    <xf borderId="0" fillId="6" fontId="4"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katerina Lemesheva" id="{a2d8bc17-0358-41e0-9a02-1e32a5bb231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79" dT="2026-09-08T10:28:43.00" personId="{a2d8bc17-0358-41e0-9a02-1e32a5bb2310}" id="{d9fb5a6e-4d8b-4eca-b177-8dea587918d2}" done="0">
    <x18tc:text xml:space="preserve">Какой норматив у 5post? Под другие способы попадает СДЕК - 14 дней?</x18tc:text>
  </x18tc:threadedComment>
  <x18tc:threadedComment ref="L82" dT="2026-09-08T10:31:25.00" personId="{a2d8bc17-0358-41e0-9a02-1e32a5bb2310}" id="{faedb869-2f8a-432d-9dc2-a0809cdc92c2}" done="0">
    <x18tc:text xml:space="preserve">Не совсем понятен ответ, но понимаю, как "Нет". Заявка отменяется, если основной срок вышел, то финиш. Если время есть, то может создать новую</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rZKCC6zf38xjrW-WQuvGZcEYEMoMK7TBrHrj91QzOpA/edit?disco=AAACFEJTWN8" TargetMode="External"/><Relationship Id="rId42" Type="http://schemas.openxmlformats.org/officeDocument/2006/relationships/hyperlink" Target="https://docs.google.com/document/d/1rZKCC6zf38xjrW-WQuvGZcEYEMoMK7TBrHrj91QzOpA/edit?disco=AAACFEJTWN0" TargetMode="External"/><Relationship Id="rId41" Type="http://schemas.openxmlformats.org/officeDocument/2006/relationships/hyperlink" Target="https://docs.google.com/document/d/1Zmr8Sj2AWePHZbu1j1lDsXq5xoYjoJOm/edit" TargetMode="External"/><Relationship Id="rId44" Type="http://schemas.openxmlformats.org/officeDocument/2006/relationships/hyperlink" Target="https://docs.google.com/document/d/1rZKCC6zf38xjrW-WQuvGZcEYEMoMK7TBrHrj91QzOpA/edit?disco=AAACFEJTWNs" TargetMode="External"/><Relationship Id="rId43" Type="http://schemas.openxmlformats.org/officeDocument/2006/relationships/hyperlink" Target="https://docs.google.com/document/d/1rZKCC6zf38xjrW-WQuvGZcEYEMoMK7TBrHrj91QzOpA/edit?disco=AAACFEJTWNw" TargetMode="External"/><Relationship Id="rId46" Type="http://schemas.openxmlformats.org/officeDocument/2006/relationships/hyperlink" Target="https://docs.google.com/document/d/1Zmr8Sj2AWePHZbu1j1lDsXq5xoYjoJOm/edit" TargetMode="External"/><Relationship Id="rId45" Type="http://schemas.openxmlformats.org/officeDocument/2006/relationships/hyperlink" Target="https://docs.google.com/document/d/1rZKCC6zf38xjrW-WQuvGZcEYEMoMK7TBrHrj91QzOpA/edit?disco=AAACFEJTWNk" TargetMode="External"/><Relationship Id="rId107" Type="http://schemas.openxmlformats.org/officeDocument/2006/relationships/hyperlink" Target="https://docs.google.com/document/d/1rZKCC6zf38xjrW-WQuvGZcEYEMoMK7TBrHrj91QzOpA/edit" TargetMode="External"/><Relationship Id="rId106" Type="http://schemas.openxmlformats.org/officeDocument/2006/relationships/hyperlink" Target="https://docs.google.com/document/d/1rZKCC6zf38xjrW-WQuvGZcEYEMoMK7TBrHrj91QzOpA/edit" TargetMode="External"/><Relationship Id="rId105" Type="http://schemas.openxmlformats.org/officeDocument/2006/relationships/hyperlink" Target="https://docs.google.com/document/d/1rZKCC6zf38xjrW-WQuvGZcEYEMoMK7TBrHrj91QzOpA/edit" TargetMode="External"/><Relationship Id="rId104" Type="http://schemas.openxmlformats.org/officeDocument/2006/relationships/hyperlink" Target="https://docs.google.com/document/d/1rZKCC6zf38xjrW-WQuvGZcEYEMoMK7TBrHrj91QzOpA/edit" TargetMode="External"/><Relationship Id="rId109" Type="http://schemas.openxmlformats.org/officeDocument/2006/relationships/drawing" Target="../drawings/drawing1.xml"/><Relationship Id="rId108" Type="http://schemas.openxmlformats.org/officeDocument/2006/relationships/hyperlink" Target="https://docs.google.com/document/d/1rZKCC6zf38xjrW-WQuvGZcEYEMoMK7TBrHrj91QzOpA/edit" TargetMode="External"/><Relationship Id="rId48" Type="http://schemas.openxmlformats.org/officeDocument/2006/relationships/hyperlink" Target="https://docs.google.com/document/d/1rZKCC6zf38xjrW-WQuvGZcEYEMoMK7TBrHrj91QzOpA/edit?disco=AAACFEJTWNI" TargetMode="External"/><Relationship Id="rId47" Type="http://schemas.openxmlformats.org/officeDocument/2006/relationships/hyperlink" Target="https://docs.google.com/document/d/1rZKCC6zf38xjrW-WQuvGZcEYEMoMK7TBrHrj91QzOpA/edit?disco=AAACFEJTWNQ" TargetMode="External"/><Relationship Id="rId49" Type="http://schemas.openxmlformats.org/officeDocument/2006/relationships/hyperlink" Target="https://docs.google.com/document/d/1rZKCC6zf38xjrW-WQuvGZcEYEMoMK7TBrHrj91QzOpA/edit?disco=AAACFEJTWNA" TargetMode="External"/><Relationship Id="rId103" Type="http://schemas.openxmlformats.org/officeDocument/2006/relationships/hyperlink" Target="https://docs.google.com/document/d/1rZKCC6zf38xjrW-WQuvGZcEYEMoMK7TBrHrj91QzOpA/edit" TargetMode="External"/><Relationship Id="rId102" Type="http://schemas.openxmlformats.org/officeDocument/2006/relationships/hyperlink" Target="https://docs.google.com/document/d/1rZKCC6zf38xjrW-WQuvGZcEYEMoMK7TBrHrj91QzOpA/edit" TargetMode="External"/><Relationship Id="rId101" Type="http://schemas.openxmlformats.org/officeDocument/2006/relationships/hyperlink" Target="https://docs.google.com/document/d/1rZKCC6zf38xjrW-WQuvGZcEYEMoMK7TBrHrj91QzOpA/edit" TargetMode="External"/><Relationship Id="rId100" Type="http://schemas.openxmlformats.org/officeDocument/2006/relationships/hyperlink" Target="https://docs.google.com/document/d/1rZKCC6zf38xjrW-WQuvGZcEYEMoMK7TBrHrj91QzOpA/edit" TargetMode="External"/><Relationship Id="rId31" Type="http://schemas.openxmlformats.org/officeDocument/2006/relationships/hyperlink" Target="https://docs.google.com/document/d/1Zmr8Sj2AWePHZbu1j1lDsXq5xoYjoJOm/edit" TargetMode="External"/><Relationship Id="rId30" Type="http://schemas.openxmlformats.org/officeDocument/2006/relationships/hyperlink" Target="https://docs.google.com/document/d/1rZKCC6zf38xjrW-WQuvGZcEYEMoMK7TBrHrj91QzOpA/edit?disco=AAACFDssjTg" TargetMode="External"/><Relationship Id="rId33" Type="http://schemas.openxmlformats.org/officeDocument/2006/relationships/hyperlink" Target="https://docs.google.com/document/d/1rZKCC6zf38xjrW-WQuvGZcEYEMoMK7TBrHrj91QzOpA/edit?disco=AAACFDssjTU" TargetMode="External"/><Relationship Id="rId32" Type="http://schemas.openxmlformats.org/officeDocument/2006/relationships/hyperlink" Target="https://docs.google.com/document/d/1rZKCC6zf38xjrW-WQuvGZcEYEMoMK7TBrHrj91QzOpA/edit?disco=AAACFDssjTc" TargetMode="External"/><Relationship Id="rId35" Type="http://schemas.openxmlformats.org/officeDocument/2006/relationships/hyperlink" Target="https://docs.google.com/document/d/1rZKCC6zf38xjrW-WQuvGZcEYEMoMK7TBrHrj91QzOpA/edit?disco=AAACFDssjTM" TargetMode="External"/><Relationship Id="rId34" Type="http://schemas.openxmlformats.org/officeDocument/2006/relationships/hyperlink" Target="https://docs.google.com/document/d/1rZKCC6zf38xjrW-WQuvGZcEYEMoMK7TBrHrj91QzOpA/edit?disco=AAACFDssjTQ" TargetMode="External"/><Relationship Id="rId37" Type="http://schemas.openxmlformats.org/officeDocument/2006/relationships/hyperlink" Target="https://docs.google.com/document/d/1rZKCC6zf38xjrW-WQuvGZcEYEMoMK7TBrHrj91QzOpA/edit?disco=AAACFEJTWRo" TargetMode="External"/><Relationship Id="rId36" Type="http://schemas.openxmlformats.org/officeDocument/2006/relationships/hyperlink" Target="https://docs.google.com/document/d/1rZKCC6zf38xjrW-WQuvGZcEYEMoMK7TBrHrj91QzOpA/edit?disco=AAACFEJTWR8" TargetMode="External"/><Relationship Id="rId39" Type="http://schemas.openxmlformats.org/officeDocument/2006/relationships/hyperlink" Target="https://docs.google.com/document/d/1rZKCC6zf38xjrW-WQuvGZcEYEMoMK7TBrHrj91QzOpA/edit?disco=AAACFEJTWRc" TargetMode="External"/><Relationship Id="rId38" Type="http://schemas.openxmlformats.org/officeDocument/2006/relationships/hyperlink" Target="https://docs.google.com/document/d/1rZKCC6zf38xjrW-WQuvGZcEYEMoMK7TBrHrj91QzOpA/edit?disco=AAACFEJTWRg" TargetMode="External"/><Relationship Id="rId20" Type="http://schemas.openxmlformats.org/officeDocument/2006/relationships/hyperlink" Target="https://docs.google.com/document/d/1rZKCC6zf38xjrW-WQuvGZcEYEMoMK7TBrHrj91QzOpA/edit?disco=AAACFDssjVM" TargetMode="External"/><Relationship Id="rId22" Type="http://schemas.openxmlformats.org/officeDocument/2006/relationships/hyperlink" Target="https://docs.google.com/document/d/1rZKCC6zf38xjrW-WQuvGZcEYEMoMK7TBrHrj91QzOpA/edit?disco=AAACFDssjUo" TargetMode="External"/><Relationship Id="rId21" Type="http://schemas.openxmlformats.org/officeDocument/2006/relationships/hyperlink" Target="https://docs.google.com/document/d/1rZKCC6zf38xjrW-WQuvGZcEYEMoMK7TBrHrj91QzOpA/edit?disco=AAACFDssjU0" TargetMode="External"/><Relationship Id="rId24" Type="http://schemas.openxmlformats.org/officeDocument/2006/relationships/hyperlink" Target="https://docs.google.com/document/d/1Zmr8Sj2AWePHZbu1j1lDsXq5xoYjoJOm/edit" TargetMode="External"/><Relationship Id="rId23" Type="http://schemas.openxmlformats.org/officeDocument/2006/relationships/hyperlink" Target="https://docs.google.com/document/d/1rZKCC6zf38xjrW-WQuvGZcEYEMoMK7TBrHrj91QzOpA/edit?disco=AAACFDssjUg" TargetMode="External"/><Relationship Id="rId26" Type="http://schemas.openxmlformats.org/officeDocument/2006/relationships/hyperlink" Target="https://docs.google.com/document/d/1rZKCC6zf38xjrW-WQuvGZcEYEMoMK7TBrHrj91QzOpA/edit?disco=AAACFDssjT8" TargetMode="External"/><Relationship Id="rId25" Type="http://schemas.openxmlformats.org/officeDocument/2006/relationships/hyperlink" Target="https://docs.google.com/document/d/1rZKCC6zf38xjrW-WQuvGZcEYEMoMK7TBrHrj91QzOpA/edit?disco=AAACFDssjUA" TargetMode="External"/><Relationship Id="rId28" Type="http://schemas.openxmlformats.org/officeDocument/2006/relationships/hyperlink" Target="https://docs.google.com/document/d/1Zmr8Sj2AWePHZbu1j1lDsXq5xoYjoJOm/edit" TargetMode="External"/><Relationship Id="rId27" Type="http://schemas.openxmlformats.org/officeDocument/2006/relationships/hyperlink" Target="https://docs.google.com/document/d/1rZKCC6zf38xjrW-WQuvGZcEYEMoMK7TBrHrj91QzOpA/edit?disco=AAACFDssjTs" TargetMode="External"/><Relationship Id="rId29" Type="http://schemas.openxmlformats.org/officeDocument/2006/relationships/hyperlink" Target="https://docs.google.com/document/d/1rZKCC6zf38xjrW-WQuvGZcEYEMoMK7TBrHrj91QzOpA/edit?disco=AAACFDssjTk" TargetMode="External"/><Relationship Id="rId95" Type="http://schemas.openxmlformats.org/officeDocument/2006/relationships/hyperlink" Target="https://docs.google.com/document/d/1rZKCC6zf38xjrW-WQuvGZcEYEMoMK7TBrHrj91QzOpA/edit" TargetMode="External"/><Relationship Id="rId94" Type="http://schemas.openxmlformats.org/officeDocument/2006/relationships/hyperlink" Target="https://docs.google.com/document/d/1rZKCC6zf38xjrW-WQuvGZcEYEMoMK7TBrHrj91QzOpA/edit" TargetMode="External"/><Relationship Id="rId97" Type="http://schemas.openxmlformats.org/officeDocument/2006/relationships/hyperlink" Target="https://docs.google.com/document/d/1rZKCC6zf38xjrW-WQuvGZcEYEMoMK7TBrHrj91QzOpA/edit" TargetMode="External"/><Relationship Id="rId96" Type="http://schemas.openxmlformats.org/officeDocument/2006/relationships/hyperlink" Target="https://docs.google.com/document/d/1rZKCC6zf38xjrW-WQuvGZcEYEMoMK7TBrHrj91QzOpA/edit" TargetMode="External"/><Relationship Id="rId11" Type="http://schemas.openxmlformats.org/officeDocument/2006/relationships/hyperlink" Target="https://docs.google.com/document/d/1rZKCC6zf38xjrW-WQuvGZcEYEMoMK7TBrHrj91QzOpA/edit?disco=AAACFD76FDY" TargetMode="External"/><Relationship Id="rId99" Type="http://schemas.openxmlformats.org/officeDocument/2006/relationships/hyperlink" Target="https://docs.google.com/document/d/1rZKCC6zf38xjrW-WQuvGZcEYEMoMK7TBrHrj91QzOpA/edit" TargetMode="External"/><Relationship Id="rId10" Type="http://schemas.openxmlformats.org/officeDocument/2006/relationships/hyperlink" Target="https://docs.google.com/document/d/1rZKCC6zf38xjrW-WQuvGZcEYEMoMK7TBrHrj91QzOpA/edit?disco=AAACFD76FDc" TargetMode="External"/><Relationship Id="rId98" Type="http://schemas.openxmlformats.org/officeDocument/2006/relationships/hyperlink" Target="https://docs.google.com/document/d/1rZKCC6zf38xjrW-WQuvGZcEYEMoMK7TBrHrj91QzOpA/edit" TargetMode="External"/><Relationship Id="rId13" Type="http://schemas.openxmlformats.org/officeDocument/2006/relationships/hyperlink" Target="https://wiki.yandex.ru/teams/retail/wiki/instrukcii-roznichnojj-seti/arm-vozvratov.-opisanie-oformlenija-vozvrata-v-nr/" TargetMode="External"/><Relationship Id="rId12" Type="http://schemas.openxmlformats.org/officeDocument/2006/relationships/hyperlink" Target="https://docs.google.com/document/d/1rZKCC6zf38xjrW-WQuvGZcEYEMoMK7TBrHrj91QzOpA/edit?disco=AAACFD76FDU" TargetMode="External"/><Relationship Id="rId91" Type="http://schemas.openxmlformats.org/officeDocument/2006/relationships/hyperlink" Target="https://docs.google.com/document/d/1rZKCC6zf38xjrW-WQuvGZcEYEMoMK7TBrHrj91QzOpA/edit" TargetMode="External"/><Relationship Id="rId90" Type="http://schemas.openxmlformats.org/officeDocument/2006/relationships/hyperlink" Target="https://docs.google.com/document/d/1rZKCC6zf38xjrW-WQuvGZcEYEMoMK7TBrHrj91QzOpA/edit" TargetMode="External"/><Relationship Id="rId93" Type="http://schemas.openxmlformats.org/officeDocument/2006/relationships/hyperlink" Target="https://docs.google.com/document/d/1rZKCC6zf38xjrW-WQuvGZcEYEMoMK7TBrHrj91QzOpA/edit" TargetMode="External"/><Relationship Id="rId92" Type="http://schemas.openxmlformats.org/officeDocument/2006/relationships/hyperlink" Target="https://docs.google.com/document/d/1rZKCC6zf38xjrW-WQuvGZcEYEMoMK7TBrHrj91QzOpA/edit" TargetMode="External"/><Relationship Id="rId15" Type="http://schemas.openxmlformats.org/officeDocument/2006/relationships/hyperlink" Target="https://docs.google.com/document/d/1rZKCC6zf38xjrW-WQuvGZcEYEMoMK7TBrHrj91QzOpA/edit?disco=AAACFDssjWQ" TargetMode="External"/><Relationship Id="rId110" Type="http://schemas.openxmlformats.org/officeDocument/2006/relationships/vmlDrawing" Target="../drawings/vmlDrawing1.vml"/><Relationship Id="rId14" Type="http://schemas.openxmlformats.org/officeDocument/2006/relationships/hyperlink" Target="https://docs.google.com/document/d/1rZKCC6zf38xjrW-WQuvGZcEYEMoMK7TBrHrj91QzOpA/edit?disco=AAACFDssjvU" TargetMode="External"/><Relationship Id="rId17" Type="http://schemas.openxmlformats.org/officeDocument/2006/relationships/hyperlink" Target="https://docs.google.com/document/d/1rZKCC6zf38xjrW-WQuvGZcEYEMoMK7TBrHrj91QzOpA/edit?disco=AAACFDssjWA" TargetMode="External"/><Relationship Id="rId16" Type="http://schemas.openxmlformats.org/officeDocument/2006/relationships/hyperlink" Target="https://docs.google.com/document/d/1rZKCC6zf38xjrW-WQuvGZcEYEMoMK7TBrHrj91QzOpA/edit?disco=AAACFDssjWM" TargetMode="External"/><Relationship Id="rId19" Type="http://schemas.openxmlformats.org/officeDocument/2006/relationships/hyperlink" Target="https://docs.google.com/document/d/1rZKCC6zf38xjrW-WQuvGZcEYEMoMK7TBrHrj91QzOpA/edit?disco=AAACFDssjVQ" TargetMode="External"/><Relationship Id="rId18" Type="http://schemas.openxmlformats.org/officeDocument/2006/relationships/hyperlink" Target="https://docs.google.com/document/d/1rZKCC6zf38xjrW-WQuvGZcEYEMoMK7TBrHrj91QzOpA/edit?disco=AAACFDssjVY" TargetMode="External"/><Relationship Id="rId84" Type="http://schemas.openxmlformats.org/officeDocument/2006/relationships/hyperlink" Target="https://docs.google.com/document/d/1rZKCC6zf38xjrW-WQuvGZcEYEMoMK7TBrHrj91QzOpA/edit" TargetMode="External"/><Relationship Id="rId83" Type="http://schemas.openxmlformats.org/officeDocument/2006/relationships/hyperlink" Target="https://docs.google.com/document/d/1rZKCC6zf38xjrW-WQuvGZcEYEMoMK7TBrHrj91QzOpA/edit" TargetMode="External"/><Relationship Id="rId86" Type="http://schemas.openxmlformats.org/officeDocument/2006/relationships/hyperlink" Target="https://docs.google.com/document/d/1rZKCC6zf38xjrW-WQuvGZcEYEMoMK7TBrHrj91QzOpA/edit" TargetMode="External"/><Relationship Id="rId85" Type="http://schemas.openxmlformats.org/officeDocument/2006/relationships/hyperlink" Target="https://docs.google.com/document/d/1rZKCC6zf38xjrW-WQuvGZcEYEMoMK7TBrHrj91QzOpA/edit" TargetMode="External"/><Relationship Id="rId88" Type="http://schemas.openxmlformats.org/officeDocument/2006/relationships/hyperlink" Target="https://docs.google.com/document/d/1rZKCC6zf38xjrW-WQuvGZcEYEMoMK7TBrHrj91QzOpA/edit" TargetMode="External"/><Relationship Id="rId87" Type="http://schemas.openxmlformats.org/officeDocument/2006/relationships/hyperlink" Target="https://docs.google.com/document/d/1rZKCC6zf38xjrW-WQuvGZcEYEMoMK7TBrHrj91QzOpA/edit" TargetMode="External"/><Relationship Id="rId89" Type="http://schemas.openxmlformats.org/officeDocument/2006/relationships/hyperlink" Target="https://docs.google.com/document/d/1rZKCC6zf38xjrW-WQuvGZcEYEMoMK7TBrHrj91QzOpA/edit" TargetMode="External"/><Relationship Id="rId80" Type="http://schemas.openxmlformats.org/officeDocument/2006/relationships/hyperlink" Target="https://docs.google.com/document/d/1rZKCC6zf38xjrW-WQuvGZcEYEMoMK7TBrHrj91QzOpA/edit" TargetMode="External"/><Relationship Id="rId82" Type="http://schemas.openxmlformats.org/officeDocument/2006/relationships/hyperlink" Target="https://docs.google.com/document/d/1rZKCC6zf38xjrW-WQuvGZcEYEMoMK7TBrHrj91QzOpA/edit" TargetMode="External"/><Relationship Id="rId81" Type="http://schemas.openxmlformats.org/officeDocument/2006/relationships/hyperlink" Target="https://docs.google.com/document/d/1rZKCC6zf38xjrW-WQuvGZcEYEMoMK7TBrHrj91QzOpA/edit"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rZKCC6zf38xjrW-WQuvGZcEYEMoMK7TBrHrj91QzOpA/edit?disco=AAACGLAfUVA" TargetMode="External"/><Relationship Id="rId9" Type="http://schemas.openxmlformats.org/officeDocument/2006/relationships/hyperlink" Target="https://docs.google.com/document/d/1rZKCC6zf38xjrW-WQuvGZcEYEMoMK7TBrHrj91QzOpA/edit?disco=AAACFD76FDk" TargetMode="External"/><Relationship Id="rId5" Type="http://schemas.openxmlformats.org/officeDocument/2006/relationships/hyperlink" Target="https://docs.google.com/document/d/1rZKCC6zf38xjrW-WQuvGZcEYEMoMK7TBrHrj91QzOpA/edit?disco=AAACFD76FDw" TargetMode="External"/><Relationship Id="rId6" Type="http://schemas.openxmlformats.org/officeDocument/2006/relationships/hyperlink" Target="https://docs.google.com/document/d/1rZKCC6zf38xjrW-WQuvGZcEYEMoMK7TBrHrj91QzOpA/edit?disco=AAACFD76FDs" TargetMode="External"/><Relationship Id="rId7" Type="http://schemas.openxmlformats.org/officeDocument/2006/relationships/hyperlink" Target="https://docs.google.com/document/d/1rZKCC6zf38xjrW-WQuvGZcEYEMoMK7TBrHrj91QzOpA/edit?disco=AAACFD76FDo" TargetMode="External"/><Relationship Id="rId8" Type="http://schemas.openxmlformats.org/officeDocument/2006/relationships/hyperlink" Target="https://docs.google.com/document/d/1Zmr8Sj2AWePHZbu1j1lDsXq5xoYjoJOm/edit" TargetMode="External"/><Relationship Id="rId73" Type="http://schemas.openxmlformats.org/officeDocument/2006/relationships/hyperlink" Target="https://docs.google.com/document/d/1rZKCC6zf38xjrW-WQuvGZcEYEMoMK7TBrHrj91QzOpA/edit" TargetMode="External"/><Relationship Id="rId72" Type="http://schemas.openxmlformats.org/officeDocument/2006/relationships/hyperlink" Target="https://docs.google.com/document/d/1rZKCC6zf38xjrW-WQuvGZcEYEMoMK7TBrHrj91QzOpA/edit" TargetMode="External"/><Relationship Id="rId75" Type="http://schemas.openxmlformats.org/officeDocument/2006/relationships/hyperlink" Target="https://docs.google.com/document/d/1rZKCC6zf38xjrW-WQuvGZcEYEMoMK7TBrHrj91QzOpA/edit" TargetMode="External"/><Relationship Id="rId74" Type="http://schemas.openxmlformats.org/officeDocument/2006/relationships/hyperlink" Target="https://docs.google.com/document/d/1rZKCC6zf38xjrW-WQuvGZcEYEMoMK7TBrHrj91QzOpA/edit" TargetMode="External"/><Relationship Id="rId77" Type="http://schemas.openxmlformats.org/officeDocument/2006/relationships/hyperlink" Target="https://docs.google.com/document/d/1rZKCC6zf38xjrW-WQuvGZcEYEMoMK7TBrHrj91QzOpA/edit" TargetMode="External"/><Relationship Id="rId76" Type="http://schemas.openxmlformats.org/officeDocument/2006/relationships/hyperlink" Target="https://docs.google.com/document/d/1rZKCC6zf38xjrW-WQuvGZcEYEMoMK7TBrHrj91QzOpA/edit" TargetMode="External"/><Relationship Id="rId79" Type="http://schemas.openxmlformats.org/officeDocument/2006/relationships/hyperlink" Target="https://docs.google.com/document/d/1rZKCC6zf38xjrW-WQuvGZcEYEMoMK7TBrHrj91QzOpA/edit" TargetMode="External"/><Relationship Id="rId78" Type="http://schemas.openxmlformats.org/officeDocument/2006/relationships/hyperlink" Target="https://docs.google.com/document/d/1rZKCC6zf38xjrW-WQuvGZcEYEMoMK7TBrHrj91QzOpA/edit" TargetMode="External"/><Relationship Id="rId71" Type="http://schemas.openxmlformats.org/officeDocument/2006/relationships/hyperlink" Target="https://docs.google.com/document/d/1rZKCC6zf38xjrW-WQuvGZcEYEMoMK7TBrHrj91QzOpA/edit?disco=AAACEjONwUc" TargetMode="External"/><Relationship Id="rId70" Type="http://schemas.openxmlformats.org/officeDocument/2006/relationships/hyperlink" Target="https://docs.google.com/document/d/1rZKCC6zf38xjrW-WQuvGZcEYEMoMK7TBrHrj91QzOpA/edit?disco=AAACEjONwUs" TargetMode="External"/><Relationship Id="rId62" Type="http://schemas.openxmlformats.org/officeDocument/2006/relationships/hyperlink" Target="https://docs.google.com/document/d/1rZKCC6zf38xjrW-WQuvGZcEYEMoMK7TBrHrj91QzOpA/edit?disco=AAACFv9K2vk" TargetMode="External"/><Relationship Id="rId61" Type="http://schemas.openxmlformats.org/officeDocument/2006/relationships/hyperlink" Target="https://docs.google.com/document/d/1rZKCC6zf38xjrW-WQuvGZcEYEMoMK7TBrHrj91QzOpA/edit?disco=AAACFv9K2v4" TargetMode="External"/><Relationship Id="rId64" Type="http://schemas.openxmlformats.org/officeDocument/2006/relationships/hyperlink" Target="https://docs.google.com/document/d/1rZKCC6zf38xjrW-WQuvGZcEYEMoMK7TBrHrj91QzOpA/edit?disco=AAACFv9K2vc" TargetMode="External"/><Relationship Id="rId63" Type="http://schemas.openxmlformats.org/officeDocument/2006/relationships/hyperlink" Target="https://docs.google.com/document/d/1Zmr8Sj2AWePHZbu1j1lDsXq5xoYjoJOm/edit" TargetMode="External"/><Relationship Id="rId66" Type="http://schemas.openxmlformats.org/officeDocument/2006/relationships/hyperlink" Target="https://docs.google.com/document/d/1rZKCC6zf38xjrW-WQuvGZcEYEMoMK7TBrHrj91QzOpA/edit?disco=AAACEjONwU8" TargetMode="External"/><Relationship Id="rId65" Type="http://schemas.openxmlformats.org/officeDocument/2006/relationships/hyperlink" Target="https://docs.google.com/document/d/1rZKCC6zf38xjrW-WQuvGZcEYEMoMK7TBrHrj91QzOpA/edit?disco=AAACEjONwVA" TargetMode="External"/><Relationship Id="rId68" Type="http://schemas.openxmlformats.org/officeDocument/2006/relationships/hyperlink" Target="https://docs.google.com/document/d/1rZKCC6zf38xjrW-WQuvGZcEYEMoMK7TBrHrj91QzOpA/edit?disco=AAACEjONwU0" TargetMode="External"/><Relationship Id="rId67" Type="http://schemas.openxmlformats.org/officeDocument/2006/relationships/hyperlink" Target="https://docs.google.com/document/d/1rZKCC6zf38xjrW-WQuvGZcEYEMoMK7TBrHrj91QzOpA/edit?disco=AAACEjONwU4" TargetMode="External"/><Relationship Id="rId60" Type="http://schemas.openxmlformats.org/officeDocument/2006/relationships/hyperlink" Target="https://docs.google.com/document/d/1rZKCC6zf38xjrW-WQuvGZcEYEMoMK7TBrHrj91QzOpA/edit?disco=AAACFv9K2wA" TargetMode="External"/><Relationship Id="rId69" Type="http://schemas.openxmlformats.org/officeDocument/2006/relationships/hyperlink" Target="https://docs.google.com/document/d/1rZKCC6zf38xjrW-WQuvGZcEYEMoMK7TBrHrj91QzOpA/edit?disco=AAACEjONwUw" TargetMode="External"/><Relationship Id="rId51" Type="http://schemas.openxmlformats.org/officeDocument/2006/relationships/hyperlink" Target="https://docs.google.com/document/d/1rZKCC6zf38xjrW-WQuvGZcEYEMoMK7TBrHrj91QzOpA/edit?disco=AAACFEJTWM0" TargetMode="External"/><Relationship Id="rId50" Type="http://schemas.openxmlformats.org/officeDocument/2006/relationships/hyperlink" Target="https://docs.google.com/document/d/1rZKCC6zf38xjrW-WQuvGZcEYEMoMK7TBrHrj91QzOpA/edit?disco=AAACFEJTWM8" TargetMode="External"/><Relationship Id="rId53" Type="http://schemas.openxmlformats.org/officeDocument/2006/relationships/hyperlink" Target="https://docs.google.com/document/d/1rZKCC6zf38xjrW-WQuvGZcEYEMoMK7TBrHrj91QzOpA/edit?disco=AAACFEJTWMs" TargetMode="External"/><Relationship Id="rId52" Type="http://schemas.openxmlformats.org/officeDocument/2006/relationships/hyperlink" Target="https://docs.google.com/document/d/1rZKCC6zf38xjrW-WQuvGZcEYEMoMK7TBrHrj91QzOpA/edit?disco=AAACFEJTWMw" TargetMode="External"/><Relationship Id="rId55" Type="http://schemas.openxmlformats.org/officeDocument/2006/relationships/hyperlink" Target="https://docs.google.com/document/d/1rZKCC6zf38xjrW-WQuvGZcEYEMoMK7TBrHrj91QzOpA/edit?disco=AAACARxCAMo" TargetMode="External"/><Relationship Id="rId54" Type="http://schemas.openxmlformats.org/officeDocument/2006/relationships/hyperlink" Target="https://docs.google.com/document/d/1rZKCC6zf38xjrW-WQuvGZcEYEMoMK7TBrHrj91QzOpA/edit?disco=AAACFEJTWMs" TargetMode="External"/><Relationship Id="rId57" Type="http://schemas.openxmlformats.org/officeDocument/2006/relationships/hyperlink" Target="https://docs.google.com/document/d/1rZKCC6zf38xjrW-WQuvGZcEYEMoMK7TBrHrj91QzOpA/edit?disco=AAACFv9K2wU" TargetMode="External"/><Relationship Id="rId56" Type="http://schemas.openxmlformats.org/officeDocument/2006/relationships/hyperlink" Target="https://docs.google.com/document/d/1rZKCC6zf38xjrW-WQuvGZcEYEMoMK7TBrHrj91QzOpA/edit?disco=AAACARxCAMc" TargetMode="External"/><Relationship Id="rId59" Type="http://schemas.openxmlformats.org/officeDocument/2006/relationships/hyperlink" Target="https://docs.google.com/document/d/1rZKCC6zf38xjrW-WQuvGZcEYEMoMK7TBrHrj91QzOpA/edit?disco=AAACFv9K2wE" TargetMode="External"/><Relationship Id="rId58" Type="http://schemas.openxmlformats.org/officeDocument/2006/relationships/hyperlink" Target="https://docs.google.com/document/d/1rZKCC6zf38xjrW-WQuvGZcEYEMoMK7TBrHrj91QzOpA/edit?disco=AAACFv9K2w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WdBb7CihK4vSVW2qY9z9TGIMB6qwu_OX/edit?gid=1258003616" TargetMode="External"/><Relationship Id="rId2" Type="http://schemas.openxmlformats.org/officeDocument/2006/relationships/hyperlink" Target="https://tracker.yandex.ru/SUP-95384" TargetMode="External"/><Relationship Id="rId3" Type="http://schemas.openxmlformats.org/officeDocument/2006/relationships/hyperlink" Target="https://mattermost.12stz.com/12storeez/pl/3t85hmpa8prk3y54c71gmw5zgh"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document/d/1rZKCC6zf38xjrW-WQuvGZcEYEMoMK7TBrHrj91QzOpA/edit" TargetMode="External"/><Relationship Id="rId42" Type="http://schemas.openxmlformats.org/officeDocument/2006/relationships/drawing" Target="../drawings/drawing5.xml"/><Relationship Id="rId41" Type="http://schemas.openxmlformats.org/officeDocument/2006/relationships/hyperlink" Target="https://docs.google.com/document/d/1rZKCC6zf38xjrW-WQuvGZcEYEMoMK7TBrHrj91QzOpA/edit" TargetMode="External"/><Relationship Id="rId31" Type="http://schemas.openxmlformats.org/officeDocument/2006/relationships/hyperlink" Target="https://docs.google.com/document/d/1rZKCC6zf38xjrW-WQuvGZcEYEMoMK7TBrHrj91QzOpA/edit?disco=AAACEjONwU8" TargetMode="External"/><Relationship Id="rId30" Type="http://schemas.openxmlformats.org/officeDocument/2006/relationships/hyperlink" Target="https://docs.google.com/document/d/1rZKCC6zf38xjrW-WQuvGZcEYEMoMK7TBrHrj91QzOpA/edit?disco=AAACEjONwVA" TargetMode="External"/><Relationship Id="rId33" Type="http://schemas.openxmlformats.org/officeDocument/2006/relationships/hyperlink" Target="https://docs.google.com/document/d/1rZKCC6zf38xjrW-WQuvGZcEYEMoMK7TBrHrj91QzOpA/edit?disco=AAACEjONwU0" TargetMode="External"/><Relationship Id="rId32" Type="http://schemas.openxmlformats.org/officeDocument/2006/relationships/hyperlink" Target="https://docs.google.com/document/d/1rZKCC6zf38xjrW-WQuvGZcEYEMoMK7TBrHrj91QzOpA/edit?disco=AAACEjONwU4" TargetMode="External"/><Relationship Id="rId35" Type="http://schemas.openxmlformats.org/officeDocument/2006/relationships/hyperlink" Target="https://docs.google.com/document/d/1rZKCC6zf38xjrW-WQuvGZcEYEMoMK7TBrHrj91QzOpA/edit?disco=AAACFEJTWM0" TargetMode="External"/><Relationship Id="rId34" Type="http://schemas.openxmlformats.org/officeDocument/2006/relationships/hyperlink" Target="https://docs.google.com/document/d/1rZKCC6zf38xjrW-WQuvGZcEYEMoMK7TBrHrj91QzOpA/edit?disco=AAACFD76FDw" TargetMode="External"/><Relationship Id="rId37" Type="http://schemas.openxmlformats.org/officeDocument/2006/relationships/hyperlink" Target="https://docs.google.com/document/d/1rZKCC6zf38xjrW-WQuvGZcEYEMoMK7TBrHrj91QzOpA/edit?disco=AAACFv9K2wU" TargetMode="External"/><Relationship Id="rId36" Type="http://schemas.openxmlformats.org/officeDocument/2006/relationships/hyperlink" Target="https://docs.google.com/document/d/1rZKCC6zf38xjrW-WQuvGZcEYEMoMK7TBrHrj91QzOpA/edit" TargetMode="External"/><Relationship Id="rId39" Type="http://schemas.openxmlformats.org/officeDocument/2006/relationships/hyperlink" Target="https://docs.google.com/document/d/1rZKCC6zf38xjrW-WQuvGZcEYEMoMK7TBrHrj91QzOpA/edit" TargetMode="External"/><Relationship Id="rId38" Type="http://schemas.openxmlformats.org/officeDocument/2006/relationships/hyperlink" Target="https://docs.google.com/document/d/1rZKCC6zf38xjrW-WQuvGZcEYEMoMK7TBrHrj91QzOpA/edit?disco=AAACARxCAMc" TargetMode="External"/><Relationship Id="rId20" Type="http://schemas.openxmlformats.org/officeDocument/2006/relationships/hyperlink" Target="https://docs.google.com/document/d/1rZKCC6zf38xjrW-WQuvGZcEYEMoMK7TBrHrj91QzOpA/edit?disco=AAACFEJTWNs" TargetMode="External"/><Relationship Id="rId22" Type="http://schemas.openxmlformats.org/officeDocument/2006/relationships/hyperlink" Target="https://docs.google.com/document/d/1rZKCC6zf38xjrW-WQuvGZcEYEMoMK7TBrHrj91QzOpA/edit" TargetMode="External"/><Relationship Id="rId21" Type="http://schemas.openxmlformats.org/officeDocument/2006/relationships/hyperlink" Target="https://docs.google.com/document/d/1rZKCC6zf38xjrW-WQuvGZcEYEMoMK7TBrHrj91QzOpA/edit" TargetMode="External"/><Relationship Id="rId24" Type="http://schemas.openxmlformats.org/officeDocument/2006/relationships/hyperlink" Target="https://docs.google.com/document/d/1rZKCC6zf38xjrW-WQuvGZcEYEMoMK7TBrHrj91QzOpA/edit" TargetMode="External"/><Relationship Id="rId23" Type="http://schemas.openxmlformats.org/officeDocument/2006/relationships/hyperlink" Target="https://docs.google.com/document/d/1rZKCC6zf38xjrW-WQuvGZcEYEMoMK7TBrHrj91QzOpA/edit" TargetMode="External"/><Relationship Id="rId26" Type="http://schemas.openxmlformats.org/officeDocument/2006/relationships/hyperlink" Target="https://docs.google.com/document/d/1rZKCC6zf38xjrW-WQuvGZcEYEMoMK7TBrHrj91QzOpA/edit?disco=AAACFEJTWR8" TargetMode="External"/><Relationship Id="rId25" Type="http://schemas.openxmlformats.org/officeDocument/2006/relationships/hyperlink" Target="https://docs.google.com/document/d/1rZKCC6zf38xjrW-WQuvGZcEYEMoMK7TBrHrj91QzOpA/edit?disco=AAACEjONwUw" TargetMode="External"/><Relationship Id="rId28" Type="http://schemas.openxmlformats.org/officeDocument/2006/relationships/hyperlink" Target="https://docs.google.com/document/d/1rZKCC6zf38xjrW-WQuvGZcEYEMoMK7TBrHrj91QzOpA/edit?disco=AAACFEJTWNI" TargetMode="External"/><Relationship Id="rId27" Type="http://schemas.openxmlformats.org/officeDocument/2006/relationships/hyperlink" Target="https://docs.google.com/document/d/1rZKCC6zf38xjrW-WQuvGZcEYEMoMK7TBrHrj91QzOpA/edit?disco=AAACFEJTWRc" TargetMode="External"/><Relationship Id="rId29" Type="http://schemas.openxmlformats.org/officeDocument/2006/relationships/hyperlink" Target="https://docs.google.com/document/d/1rZKCC6zf38xjrW-WQuvGZcEYEMoMK7TBrHrj91QzOpA/edit?disco=AAACFEJTWMw" TargetMode="External"/><Relationship Id="rId11" Type="http://schemas.openxmlformats.org/officeDocument/2006/relationships/hyperlink" Target="https://docs.google.com/document/d/1rZKCC6zf38xjrW-WQuvGZcEYEMoMK7TBrHrj91QzOpA/edit?disco=AAACFv9K2wE" TargetMode="External"/><Relationship Id="rId10" Type="http://schemas.openxmlformats.org/officeDocument/2006/relationships/hyperlink" Target="https://docs.google.com/document/d/1rZKCC6zf38xjrW-WQuvGZcEYEMoMK7TBrHrj91QzOpA/edit?disco=AAACFEJTWM8" TargetMode="External"/><Relationship Id="rId13" Type="http://schemas.openxmlformats.org/officeDocument/2006/relationships/hyperlink" Target="https://docs.google.com/document/d/1rZKCC6zf38xjrW-WQuvGZcEYEMoMK7TBrHrj91QzOpA/edit?disco=AAACFEJTWR8" TargetMode="External"/><Relationship Id="rId12" Type="http://schemas.openxmlformats.org/officeDocument/2006/relationships/hyperlink" Target="https://docs.google.com/document/d/1rZKCC6zf38xjrW-WQuvGZcEYEMoMK7TBrHrj91QzOpA/edit?disco=AAACFD76FDc" TargetMode="External"/><Relationship Id="rId15" Type="http://schemas.openxmlformats.org/officeDocument/2006/relationships/hyperlink" Target="https://docs.google.com/document/d/1rZKCC6zf38xjrW-WQuvGZcEYEMoMK7TBrHrj91QzOpA/edit?disco=AAACFDssjTQ" TargetMode="External"/><Relationship Id="rId14" Type="http://schemas.openxmlformats.org/officeDocument/2006/relationships/hyperlink" Target="https://docs.google.com/document/d/1rZKCC6zf38xjrW-WQuvGZcEYEMoMK7TBrHrj91QzOpA/edit?disco=AAACFEJTWRo" TargetMode="External"/><Relationship Id="rId17" Type="http://schemas.openxmlformats.org/officeDocument/2006/relationships/hyperlink" Target="https://docs.google.com/document/d/1rZKCC6zf38xjrW-WQuvGZcEYEMoMK7TBrHrj91QzOpA/edit?disco=AAACFDssjVY" TargetMode="External"/><Relationship Id="rId16" Type="http://schemas.openxmlformats.org/officeDocument/2006/relationships/hyperlink" Target="https://docs.google.com/document/d/1rZKCC6zf38xjrW-WQuvGZcEYEMoMK7TBrHrj91QzOpA/edit?disco=AAACEjONwUc" TargetMode="External"/><Relationship Id="rId19" Type="http://schemas.openxmlformats.org/officeDocument/2006/relationships/hyperlink" Target="https://docs.google.com/document/d/1rZKCC6zf38xjrW-WQuvGZcEYEMoMK7TBrHrj91QzOpA/edit?disco=AAACFDssjUA" TargetMode="External"/><Relationship Id="rId18" Type="http://schemas.openxmlformats.org/officeDocument/2006/relationships/hyperlink" Target="https://docs.google.com/document/d/1rZKCC6zf38xjrW-WQuvGZcEYEMoMK7TBrHrj91QzOpA/edit?disco=AAACFDssjU0" TargetMode="External"/><Relationship Id="rId1" Type="http://schemas.openxmlformats.org/officeDocument/2006/relationships/hyperlink" Target="https://docs.google.com/document/d/1rZKCC6zf38xjrW-WQuvGZcEYEMoMK7TBrHrj91QzOpA/edit?disco=AAACGLAfUVA" TargetMode="External"/><Relationship Id="rId2" Type="http://schemas.openxmlformats.org/officeDocument/2006/relationships/hyperlink" Target="https://docs.google.com/document/d/1rZKCC6zf38xjrW-WQuvGZcEYEMoMK7TBrHrj91QzOpA/edit?disco=AAACFEJTWMs" TargetMode="External"/><Relationship Id="rId3" Type="http://schemas.openxmlformats.org/officeDocument/2006/relationships/hyperlink" Target="https://docs.google.com/document/d/1rZKCC6zf38xjrW-WQuvGZcEYEMoMK7TBrHrj91QzOpA/edit" TargetMode="External"/><Relationship Id="rId4" Type="http://schemas.openxmlformats.org/officeDocument/2006/relationships/hyperlink" Target="https://docs.google.com/document/d/1rZKCC6zf38xjrW-WQuvGZcEYEMoMK7TBrHrj91QzOpA/edit?disco=AAACFD76FDs" TargetMode="External"/><Relationship Id="rId9" Type="http://schemas.openxmlformats.org/officeDocument/2006/relationships/hyperlink" Target="https://docs.google.com/document/d/1rZKCC6zf38xjrW-WQuvGZcEYEMoMK7TBrHrj91QzOpA/edit?disco=AAACFDssjTU" TargetMode="External"/><Relationship Id="rId5" Type="http://schemas.openxmlformats.org/officeDocument/2006/relationships/hyperlink" Target="https://docs.google.com/document/d/1rZKCC6zf38xjrW-WQuvGZcEYEMoMK7TBrHrj91QzOpA/edit?disco=AAACFD76FDY" TargetMode="External"/><Relationship Id="rId6" Type="http://schemas.openxmlformats.org/officeDocument/2006/relationships/hyperlink" Target="https://docs.google.com/document/d/1rZKCC6zf38xjrW-WQuvGZcEYEMoMK7TBrHrj91QzOpA/edit?disco=AAACFDssjvU" TargetMode="External"/><Relationship Id="rId7" Type="http://schemas.openxmlformats.org/officeDocument/2006/relationships/hyperlink" Target="https://docs.google.com/document/d/1rZKCC6zf38xjrW-WQuvGZcEYEMoMK7TBrHrj91QzOpA/edit?disco=AAACFDssjT8" TargetMode="External"/><Relationship Id="rId8" Type="http://schemas.openxmlformats.org/officeDocument/2006/relationships/hyperlink" Target="https://docs.google.com/document/d/1rZKCC6zf38xjrW-WQuvGZcEYEMoMK7TBrHrj91QzOpA/edit?disco=AAACFDssjT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86"/>
    <col customWidth="1" min="2" max="2" width="22.0"/>
    <col customWidth="1" min="3" max="3" width="34.0"/>
    <col customWidth="1" min="4" max="4" width="14.0"/>
    <col customWidth="1" min="5" max="5" width="11.0"/>
    <col customWidth="1" min="6" max="6" width="20.0"/>
    <col customWidth="1" min="7" max="7" width="22.0"/>
    <col customWidth="1" min="8" max="8" width="26.0"/>
    <col customWidth="1" min="9" max="9" width="70.0"/>
    <col customWidth="1" min="10" max="10" width="11.0"/>
    <col customWidth="1" min="11" max="11" width="22.0"/>
    <col customWidth="1" min="12" max="12" width="70.0"/>
    <col customWidth="1" min="13" max="13" width="12.0"/>
    <col customWidth="1" min="14" max="14" width="45.0"/>
    <col customWidth="1" min="15" max="26" width="8.71"/>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c r="A2" s="2">
        <v>1.0</v>
      </c>
      <c r="B2" s="2" t="s">
        <v>14</v>
      </c>
      <c r="C2" s="2" t="s">
        <v>15</v>
      </c>
      <c r="D2" s="4" t="s">
        <v>16</v>
      </c>
      <c r="E2" s="2" t="s">
        <v>23</v>
      </c>
      <c r="F2" s="2" t="s">
        <v>24</v>
      </c>
      <c r="G2" s="2" t="s">
        <v>25</v>
      </c>
      <c r="H2" s="7" t="s">
        <v>26</v>
      </c>
      <c r="I2" s="2" t="s">
        <v>28</v>
      </c>
      <c r="J2" s="9" t="s">
        <v>29</v>
      </c>
      <c r="K2" s="2"/>
      <c r="L2" s="2"/>
      <c r="M2" s="2" t="s">
        <v>32</v>
      </c>
      <c r="N2" s="2" t="s">
        <v>34</v>
      </c>
    </row>
    <row r="3">
      <c r="A3" s="2">
        <v>2.0</v>
      </c>
      <c r="B3" s="2" t="s">
        <v>14</v>
      </c>
      <c r="C3" s="2" t="s">
        <v>37</v>
      </c>
      <c r="D3" s="4" t="s">
        <v>16</v>
      </c>
      <c r="E3" s="2" t="s">
        <v>55</v>
      </c>
      <c r="F3" s="2" t="s">
        <v>24</v>
      </c>
      <c r="G3" s="2" t="s">
        <v>25</v>
      </c>
      <c r="H3" s="7" t="s">
        <v>57</v>
      </c>
      <c r="I3" s="2" t="s">
        <v>60</v>
      </c>
      <c r="J3" s="9" t="s">
        <v>29</v>
      </c>
      <c r="K3" s="2"/>
      <c r="L3" s="2"/>
      <c r="M3" s="2" t="s">
        <v>32</v>
      </c>
      <c r="N3" s="2" t="s">
        <v>61</v>
      </c>
    </row>
    <row r="4">
      <c r="A4" s="2">
        <v>3.0</v>
      </c>
      <c r="B4" s="2" t="s">
        <v>14</v>
      </c>
      <c r="C4" s="2" t="s">
        <v>64</v>
      </c>
      <c r="D4" s="4" t="s">
        <v>16</v>
      </c>
      <c r="E4" s="2" t="s">
        <v>23</v>
      </c>
      <c r="F4" s="2" t="s">
        <v>24</v>
      </c>
      <c r="G4" s="2" t="s">
        <v>25</v>
      </c>
      <c r="H4" s="7" t="s">
        <v>103</v>
      </c>
      <c r="I4" s="2" t="s">
        <v>106</v>
      </c>
      <c r="J4" s="12" t="s">
        <v>20</v>
      </c>
      <c r="K4" s="2" t="s">
        <v>115</v>
      </c>
      <c r="L4" s="2" t="s">
        <v>117</v>
      </c>
      <c r="M4" s="2" t="s">
        <v>32</v>
      </c>
      <c r="N4" s="2" t="s">
        <v>120</v>
      </c>
    </row>
    <row r="5">
      <c r="A5" s="2">
        <v>4.0</v>
      </c>
      <c r="B5" s="2" t="s">
        <v>14</v>
      </c>
      <c r="C5" s="2" t="s">
        <v>125</v>
      </c>
      <c r="D5" s="4" t="s">
        <v>16</v>
      </c>
      <c r="E5" s="2" t="s">
        <v>55</v>
      </c>
      <c r="F5" s="2" t="s">
        <v>24</v>
      </c>
      <c r="G5" s="2" t="s">
        <v>25</v>
      </c>
      <c r="H5" s="7" t="s">
        <v>151</v>
      </c>
      <c r="I5" s="2" t="s">
        <v>152</v>
      </c>
      <c r="J5" s="13" t="s">
        <v>153</v>
      </c>
      <c r="K5" s="7" t="s">
        <v>155</v>
      </c>
      <c r="L5" s="16" t="s">
        <v>161</v>
      </c>
      <c r="M5" s="2" t="s">
        <v>32</v>
      </c>
      <c r="N5" s="2" t="s">
        <v>179</v>
      </c>
    </row>
    <row r="6">
      <c r="A6" s="2">
        <v>5.0</v>
      </c>
      <c r="B6" s="2" t="s">
        <v>14</v>
      </c>
      <c r="C6" s="2" t="s">
        <v>180</v>
      </c>
      <c r="D6" s="4" t="s">
        <v>16</v>
      </c>
      <c r="E6" s="2" t="s">
        <v>55</v>
      </c>
      <c r="F6" s="2" t="s">
        <v>24</v>
      </c>
      <c r="G6" s="2" t="s">
        <v>25</v>
      </c>
      <c r="H6" s="7" t="s">
        <v>183</v>
      </c>
      <c r="I6" s="2" t="s">
        <v>184</v>
      </c>
      <c r="J6" s="13" t="s">
        <v>153</v>
      </c>
      <c r="K6" s="2" t="s">
        <v>115</v>
      </c>
      <c r="L6" s="2" t="s">
        <v>185</v>
      </c>
      <c r="M6" s="2" t="s">
        <v>32</v>
      </c>
      <c r="N6" s="2" t="s">
        <v>187</v>
      </c>
    </row>
    <row r="7">
      <c r="A7" s="2">
        <v>6.0</v>
      </c>
      <c r="B7" s="2" t="s">
        <v>14</v>
      </c>
      <c r="C7" s="2" t="s">
        <v>189</v>
      </c>
      <c r="D7" s="4" t="s">
        <v>16</v>
      </c>
      <c r="E7" s="2" t="s">
        <v>55</v>
      </c>
      <c r="F7" s="2" t="s">
        <v>24</v>
      </c>
      <c r="G7" s="2" t="s">
        <v>25</v>
      </c>
      <c r="H7" s="7" t="s">
        <v>202</v>
      </c>
      <c r="I7" s="2" t="s">
        <v>203</v>
      </c>
      <c r="J7" s="12" t="s">
        <v>20</v>
      </c>
      <c r="K7" s="2"/>
      <c r="L7" s="2"/>
      <c r="M7" s="2" t="s">
        <v>32</v>
      </c>
      <c r="N7" s="2" t="s">
        <v>205</v>
      </c>
    </row>
    <row r="8">
      <c r="A8" s="2">
        <v>7.0</v>
      </c>
      <c r="B8" s="2" t="s">
        <v>14</v>
      </c>
      <c r="C8" s="2" t="s">
        <v>207</v>
      </c>
      <c r="D8" s="4" t="s">
        <v>16</v>
      </c>
      <c r="E8" s="2" t="s">
        <v>55</v>
      </c>
      <c r="F8" s="2" t="s">
        <v>24</v>
      </c>
      <c r="G8" s="2" t="s">
        <v>25</v>
      </c>
      <c r="H8" s="7" t="s">
        <v>209</v>
      </c>
      <c r="I8" s="2" t="s">
        <v>210</v>
      </c>
      <c r="J8" s="9" t="s">
        <v>29</v>
      </c>
      <c r="K8" s="2"/>
      <c r="L8" s="2"/>
      <c r="M8" s="2" t="s">
        <v>32</v>
      </c>
      <c r="N8" s="2"/>
    </row>
    <row r="9">
      <c r="A9" s="2">
        <v>8.0</v>
      </c>
      <c r="B9" s="2" t="s">
        <v>14</v>
      </c>
      <c r="C9" s="2" t="s">
        <v>212</v>
      </c>
      <c r="D9" s="4" t="s">
        <v>16</v>
      </c>
      <c r="E9" s="2" t="s">
        <v>55</v>
      </c>
      <c r="F9" s="2" t="s">
        <v>24</v>
      </c>
      <c r="G9" s="2" t="s">
        <v>25</v>
      </c>
      <c r="H9" s="7" t="s">
        <v>223</v>
      </c>
      <c r="I9" s="2" t="s">
        <v>225</v>
      </c>
      <c r="J9" s="13" t="s">
        <v>153</v>
      </c>
      <c r="K9" s="7" t="s">
        <v>206</v>
      </c>
      <c r="L9" s="16" t="s">
        <v>228</v>
      </c>
      <c r="M9" s="2" t="s">
        <v>32</v>
      </c>
      <c r="N9" s="2"/>
    </row>
    <row r="10">
      <c r="A10" s="2">
        <v>9.0</v>
      </c>
      <c r="B10" s="2" t="s">
        <v>14</v>
      </c>
      <c r="C10" s="2" t="s">
        <v>241</v>
      </c>
      <c r="D10" s="20" t="s">
        <v>16</v>
      </c>
      <c r="E10" s="2" t="s">
        <v>254</v>
      </c>
      <c r="F10" s="2" t="s">
        <v>24</v>
      </c>
      <c r="G10" s="2" t="s">
        <v>25</v>
      </c>
      <c r="H10" s="7" t="s">
        <v>256</v>
      </c>
      <c r="I10" s="2" t="s">
        <v>258</v>
      </c>
      <c r="J10" s="9" t="s">
        <v>29</v>
      </c>
      <c r="K10" s="2"/>
      <c r="L10" s="2"/>
      <c r="M10" s="2" t="s">
        <v>32</v>
      </c>
      <c r="N10" s="2"/>
    </row>
    <row r="11">
      <c r="A11" s="2">
        <v>10.0</v>
      </c>
      <c r="B11" s="2" t="s">
        <v>14</v>
      </c>
      <c r="C11" s="2" t="s">
        <v>261</v>
      </c>
      <c r="D11" s="4" t="s">
        <v>16</v>
      </c>
      <c r="E11" s="2" t="s">
        <v>55</v>
      </c>
      <c r="F11" s="2" t="s">
        <v>24</v>
      </c>
      <c r="G11" s="2" t="s">
        <v>25</v>
      </c>
      <c r="H11" s="7" t="s">
        <v>264</v>
      </c>
      <c r="I11" s="2" t="s">
        <v>265</v>
      </c>
      <c r="J11" s="13" t="s">
        <v>153</v>
      </c>
      <c r="K11" s="2" t="s">
        <v>115</v>
      </c>
      <c r="L11" s="2" t="s">
        <v>266</v>
      </c>
      <c r="M11" s="2" t="s">
        <v>267</v>
      </c>
      <c r="N11" s="2"/>
    </row>
    <row r="12">
      <c r="A12" s="2">
        <v>11.0</v>
      </c>
      <c r="B12" s="2" t="s">
        <v>14</v>
      </c>
      <c r="C12" s="2" t="s">
        <v>268</v>
      </c>
      <c r="D12" s="4" t="s">
        <v>16</v>
      </c>
      <c r="E12" s="2" t="s">
        <v>254</v>
      </c>
      <c r="F12" s="2" t="s">
        <v>24</v>
      </c>
      <c r="G12" s="2" t="s">
        <v>25</v>
      </c>
      <c r="H12" s="7" t="s">
        <v>269</v>
      </c>
      <c r="I12" s="2" t="s">
        <v>271</v>
      </c>
      <c r="J12" s="13" t="s">
        <v>153</v>
      </c>
      <c r="K12" s="2" t="s">
        <v>115</v>
      </c>
      <c r="L12" s="7" t="s">
        <v>272</v>
      </c>
      <c r="M12" s="2" t="s">
        <v>32</v>
      </c>
      <c r="N12" s="2"/>
    </row>
    <row r="13">
      <c r="A13" s="2">
        <v>12.0</v>
      </c>
      <c r="B13" s="2" t="s">
        <v>14</v>
      </c>
      <c r="C13" s="2" t="s">
        <v>273</v>
      </c>
      <c r="D13" s="4" t="s">
        <v>16</v>
      </c>
      <c r="E13" s="2" t="s">
        <v>55</v>
      </c>
      <c r="F13" s="2" t="s">
        <v>24</v>
      </c>
      <c r="G13" s="2" t="s">
        <v>25</v>
      </c>
      <c r="H13" s="7" t="s">
        <v>274</v>
      </c>
      <c r="I13" s="2" t="s">
        <v>275</v>
      </c>
      <c r="J13" s="13" t="s">
        <v>153</v>
      </c>
      <c r="K13" s="2" t="s">
        <v>115</v>
      </c>
      <c r="L13" s="2" t="s">
        <v>276</v>
      </c>
      <c r="M13" s="2" t="s">
        <v>32</v>
      </c>
      <c r="N13" s="2"/>
    </row>
    <row r="14">
      <c r="A14" s="2">
        <v>13.0</v>
      </c>
      <c r="B14" s="2" t="s">
        <v>14</v>
      </c>
      <c r="C14" s="2" t="s">
        <v>277</v>
      </c>
      <c r="D14" s="4" t="s">
        <v>16</v>
      </c>
      <c r="E14" s="2" t="s">
        <v>55</v>
      </c>
      <c r="F14" s="2" t="s">
        <v>24</v>
      </c>
      <c r="G14" s="2" t="s">
        <v>25</v>
      </c>
      <c r="H14" s="7" t="s">
        <v>279</v>
      </c>
      <c r="I14" s="2" t="s">
        <v>280</v>
      </c>
      <c r="J14" s="9" t="s">
        <v>29</v>
      </c>
      <c r="K14" s="2" t="s">
        <v>115</v>
      </c>
      <c r="L14" s="2" t="s">
        <v>281</v>
      </c>
      <c r="M14" s="2" t="s">
        <v>32</v>
      </c>
      <c r="N14" s="2" t="s">
        <v>282</v>
      </c>
    </row>
    <row r="15">
      <c r="A15" s="2">
        <v>14.0</v>
      </c>
      <c r="B15" s="2" t="s">
        <v>14</v>
      </c>
      <c r="C15" s="2" t="s">
        <v>283</v>
      </c>
      <c r="D15" s="4" t="s">
        <v>16</v>
      </c>
      <c r="E15" s="2" t="s">
        <v>55</v>
      </c>
      <c r="F15" s="2" t="s">
        <v>211</v>
      </c>
      <c r="G15" s="2" t="s">
        <v>284</v>
      </c>
      <c r="H15" s="7" t="s">
        <v>285</v>
      </c>
      <c r="I15" s="2" t="s">
        <v>286</v>
      </c>
      <c r="J15" s="13" t="s">
        <v>153</v>
      </c>
      <c r="K15" s="2" t="s">
        <v>115</v>
      </c>
      <c r="L15" s="7" t="s">
        <v>287</v>
      </c>
      <c r="M15" s="2" t="s">
        <v>32</v>
      </c>
      <c r="N15" s="2" t="s">
        <v>288</v>
      </c>
    </row>
    <row r="16">
      <c r="A16" s="2">
        <v>15.0</v>
      </c>
      <c r="B16" s="2" t="s">
        <v>14</v>
      </c>
      <c r="C16" s="2" t="s">
        <v>289</v>
      </c>
      <c r="D16" s="4" t="s">
        <v>16</v>
      </c>
      <c r="E16" s="2" t="s">
        <v>55</v>
      </c>
      <c r="F16" s="2" t="s">
        <v>24</v>
      </c>
      <c r="G16" s="2" t="s">
        <v>25</v>
      </c>
      <c r="H16" s="2" t="s">
        <v>291</v>
      </c>
      <c r="I16" s="2" t="s">
        <v>292</v>
      </c>
      <c r="J16" s="13" t="s">
        <v>153</v>
      </c>
      <c r="K16" s="2" t="s">
        <v>115</v>
      </c>
      <c r="L16" s="2" t="s">
        <v>293</v>
      </c>
      <c r="M16" s="2" t="s">
        <v>32</v>
      </c>
      <c r="N16" s="2"/>
    </row>
    <row r="17">
      <c r="A17" s="2">
        <v>16.0</v>
      </c>
      <c r="B17" s="2" t="s">
        <v>14</v>
      </c>
      <c r="C17" s="2" t="s">
        <v>294</v>
      </c>
      <c r="D17" s="4" t="s">
        <v>16</v>
      </c>
      <c r="E17" s="2" t="s">
        <v>254</v>
      </c>
      <c r="F17" s="2" t="s">
        <v>191</v>
      </c>
      <c r="G17" s="2" t="s">
        <v>295</v>
      </c>
      <c r="H17" s="7" t="s">
        <v>296</v>
      </c>
      <c r="I17" s="2" t="s">
        <v>297</v>
      </c>
      <c r="J17" s="9" t="s">
        <v>29</v>
      </c>
      <c r="K17" s="2"/>
      <c r="L17" s="2"/>
      <c r="M17" s="2" t="s">
        <v>32</v>
      </c>
      <c r="N17" s="2"/>
    </row>
    <row r="18">
      <c r="A18" s="2">
        <v>17.0</v>
      </c>
      <c r="B18" s="2" t="s">
        <v>14</v>
      </c>
      <c r="C18" s="2" t="s">
        <v>298</v>
      </c>
      <c r="D18" s="4" t="s">
        <v>16</v>
      </c>
      <c r="E18" s="2" t="s">
        <v>55</v>
      </c>
      <c r="F18" s="2" t="s">
        <v>191</v>
      </c>
      <c r="G18" s="2" t="s">
        <v>295</v>
      </c>
      <c r="H18" s="7" t="s">
        <v>300</v>
      </c>
      <c r="I18" s="2" t="s">
        <v>301</v>
      </c>
      <c r="J18" s="13" t="s">
        <v>153</v>
      </c>
      <c r="K18" s="2" t="s">
        <v>115</v>
      </c>
      <c r="L18" s="2" t="s">
        <v>302</v>
      </c>
      <c r="M18" s="2" t="s">
        <v>32</v>
      </c>
      <c r="N18" s="2"/>
    </row>
    <row r="19">
      <c r="A19" s="2">
        <v>18.0</v>
      </c>
      <c r="B19" s="2" t="s">
        <v>14</v>
      </c>
      <c r="C19" s="2" t="s">
        <v>303</v>
      </c>
      <c r="D19" s="4" t="s">
        <v>16</v>
      </c>
      <c r="E19" s="2" t="s">
        <v>254</v>
      </c>
      <c r="F19" s="2" t="s">
        <v>191</v>
      </c>
      <c r="G19" s="2" t="s">
        <v>295</v>
      </c>
      <c r="H19" s="7" t="s">
        <v>304</v>
      </c>
      <c r="I19" s="2" t="s">
        <v>305</v>
      </c>
      <c r="J19" s="13" t="s">
        <v>153</v>
      </c>
      <c r="K19" s="7" t="s">
        <v>155</v>
      </c>
      <c r="L19" s="16" t="s">
        <v>306</v>
      </c>
      <c r="M19" s="2" t="s">
        <v>32</v>
      </c>
      <c r="N19" s="2"/>
    </row>
    <row r="20">
      <c r="A20" s="2">
        <v>19.0</v>
      </c>
      <c r="B20" s="2" t="s">
        <v>14</v>
      </c>
      <c r="C20" s="2" t="s">
        <v>308</v>
      </c>
      <c r="D20" s="4" t="s">
        <v>16</v>
      </c>
      <c r="E20" s="2" t="s">
        <v>254</v>
      </c>
      <c r="F20" s="2" t="s">
        <v>191</v>
      </c>
      <c r="G20" s="2" t="s">
        <v>295</v>
      </c>
      <c r="H20" s="7" t="s">
        <v>309</v>
      </c>
      <c r="I20" s="2" t="s">
        <v>310</v>
      </c>
      <c r="J20" s="9" t="s">
        <v>29</v>
      </c>
      <c r="K20" s="2"/>
      <c r="L20" s="2"/>
      <c r="M20" s="2" t="s">
        <v>32</v>
      </c>
      <c r="N20" s="2" t="s">
        <v>311</v>
      </c>
    </row>
    <row r="21" ht="15.75" customHeight="1">
      <c r="A21" s="2">
        <v>20.0</v>
      </c>
      <c r="B21" s="2" t="s">
        <v>14</v>
      </c>
      <c r="C21" s="2" t="s">
        <v>312</v>
      </c>
      <c r="D21" s="4" t="s">
        <v>16</v>
      </c>
      <c r="E21" s="2" t="s">
        <v>254</v>
      </c>
      <c r="F21" s="2" t="s">
        <v>191</v>
      </c>
      <c r="G21" s="2" t="s">
        <v>295</v>
      </c>
      <c r="H21" s="7" t="s">
        <v>313</v>
      </c>
      <c r="I21" s="2" t="s">
        <v>314</v>
      </c>
      <c r="J21" s="9" t="s">
        <v>29</v>
      </c>
      <c r="K21" s="2"/>
      <c r="L21" s="2"/>
      <c r="M21" s="2" t="s">
        <v>32</v>
      </c>
      <c r="N21" s="2"/>
    </row>
    <row r="22" ht="15.75" customHeight="1">
      <c r="A22" s="2">
        <v>21.0</v>
      </c>
      <c r="B22" s="2" t="s">
        <v>14</v>
      </c>
      <c r="C22" s="2" t="s">
        <v>315</v>
      </c>
      <c r="D22" s="20" t="s">
        <v>16</v>
      </c>
      <c r="E22" s="2" t="s">
        <v>254</v>
      </c>
      <c r="F22" s="2" t="s">
        <v>191</v>
      </c>
      <c r="G22" s="2" t="s">
        <v>295</v>
      </c>
      <c r="H22" s="7" t="s">
        <v>317</v>
      </c>
      <c r="I22" s="2" t="s">
        <v>318</v>
      </c>
      <c r="J22" s="13" t="s">
        <v>153</v>
      </c>
      <c r="K22" s="7" t="s">
        <v>155</v>
      </c>
      <c r="L22" s="16" t="s">
        <v>319</v>
      </c>
      <c r="M22" s="2" t="s">
        <v>32</v>
      </c>
      <c r="N22" s="2" t="s">
        <v>320</v>
      </c>
    </row>
    <row r="23" ht="15.75" customHeight="1">
      <c r="A23" s="2">
        <v>22.0</v>
      </c>
      <c r="B23" s="2" t="s">
        <v>14</v>
      </c>
      <c r="C23" s="2" t="s">
        <v>321</v>
      </c>
      <c r="D23" s="4" t="s">
        <v>16</v>
      </c>
      <c r="E23" s="2" t="s">
        <v>23</v>
      </c>
      <c r="F23" s="2" t="s">
        <v>191</v>
      </c>
      <c r="G23" s="2" t="s">
        <v>295</v>
      </c>
      <c r="H23" s="7" t="s">
        <v>322</v>
      </c>
      <c r="I23" s="21" t="s">
        <v>323</v>
      </c>
      <c r="J23" s="13" t="s">
        <v>153</v>
      </c>
      <c r="K23" s="7" t="s">
        <v>324</v>
      </c>
      <c r="L23" s="7" t="s">
        <v>325</v>
      </c>
      <c r="M23" s="2" t="s">
        <v>32</v>
      </c>
      <c r="N23" s="2"/>
    </row>
    <row r="24" ht="15.75" customHeight="1">
      <c r="A24" s="2">
        <v>23.0</v>
      </c>
      <c r="B24" s="2" t="s">
        <v>14</v>
      </c>
      <c r="C24" s="2" t="s">
        <v>326</v>
      </c>
      <c r="D24" s="4" t="s">
        <v>16</v>
      </c>
      <c r="E24" s="2" t="s">
        <v>254</v>
      </c>
      <c r="F24" s="2" t="s">
        <v>191</v>
      </c>
      <c r="G24" s="2" t="s">
        <v>295</v>
      </c>
      <c r="H24" s="7" t="s">
        <v>327</v>
      </c>
      <c r="I24" s="7" t="s">
        <v>328</v>
      </c>
      <c r="J24" s="13" t="s">
        <v>153</v>
      </c>
      <c r="K24" s="7" t="s">
        <v>155</v>
      </c>
      <c r="L24" s="16" t="s">
        <v>329</v>
      </c>
      <c r="M24" s="2" t="s">
        <v>32</v>
      </c>
      <c r="N24" s="2"/>
    </row>
    <row r="25" ht="15.75" customHeight="1">
      <c r="A25" s="2">
        <v>24.0</v>
      </c>
      <c r="B25" s="2" t="s">
        <v>14</v>
      </c>
      <c r="C25" s="2" t="s">
        <v>330</v>
      </c>
      <c r="D25" s="4" t="s">
        <v>16</v>
      </c>
      <c r="E25" s="2" t="s">
        <v>254</v>
      </c>
      <c r="F25" s="2" t="s">
        <v>191</v>
      </c>
      <c r="G25" s="2" t="s">
        <v>295</v>
      </c>
      <c r="H25" s="7" t="s">
        <v>332</v>
      </c>
      <c r="I25" s="2" t="s">
        <v>333</v>
      </c>
      <c r="J25" s="9" t="s">
        <v>29</v>
      </c>
      <c r="K25" s="2"/>
      <c r="L25" s="2"/>
      <c r="M25" s="2" t="s">
        <v>32</v>
      </c>
      <c r="N25" s="2" t="s">
        <v>334</v>
      </c>
    </row>
    <row r="26" ht="15.75" customHeight="1">
      <c r="A26" s="2">
        <v>25.0</v>
      </c>
      <c r="B26" s="2" t="s">
        <v>14</v>
      </c>
      <c r="C26" s="2" t="s">
        <v>335</v>
      </c>
      <c r="D26" s="4" t="s">
        <v>16</v>
      </c>
      <c r="E26" s="2" t="s">
        <v>23</v>
      </c>
      <c r="F26" s="2" t="s">
        <v>191</v>
      </c>
      <c r="G26" s="2" t="s">
        <v>295</v>
      </c>
      <c r="H26" s="7" t="s">
        <v>336</v>
      </c>
      <c r="I26" s="2" t="s">
        <v>337</v>
      </c>
      <c r="J26" s="9" t="s">
        <v>29</v>
      </c>
      <c r="K26" s="2"/>
      <c r="L26" s="2"/>
      <c r="M26" s="2" t="s">
        <v>32</v>
      </c>
      <c r="N26" s="2"/>
    </row>
    <row r="27" ht="15.75" customHeight="1">
      <c r="A27" s="2">
        <v>26.0</v>
      </c>
      <c r="B27" s="2" t="s">
        <v>14</v>
      </c>
      <c r="C27" s="2" t="s">
        <v>261</v>
      </c>
      <c r="D27" s="4" t="s">
        <v>16</v>
      </c>
      <c r="E27" s="2" t="s">
        <v>339</v>
      </c>
      <c r="F27" s="2" t="s">
        <v>191</v>
      </c>
      <c r="G27" s="2" t="s">
        <v>295</v>
      </c>
      <c r="H27" s="7" t="s">
        <v>332</v>
      </c>
      <c r="I27" s="2" t="s">
        <v>340</v>
      </c>
      <c r="J27" s="12" t="s">
        <v>20</v>
      </c>
      <c r="K27" s="2" t="s">
        <v>341</v>
      </c>
      <c r="L27" s="2" t="s">
        <v>342</v>
      </c>
      <c r="M27" s="2" t="s">
        <v>32</v>
      </c>
      <c r="N27" s="2" t="s">
        <v>343</v>
      </c>
    </row>
    <row r="28" ht="15.75" customHeight="1">
      <c r="A28" s="2">
        <v>27.0</v>
      </c>
      <c r="B28" s="2" t="s">
        <v>14</v>
      </c>
      <c r="C28" s="2" t="s">
        <v>344</v>
      </c>
      <c r="D28" s="4" t="s">
        <v>16</v>
      </c>
      <c r="E28" s="2" t="s">
        <v>55</v>
      </c>
      <c r="F28" s="2" t="s">
        <v>191</v>
      </c>
      <c r="G28" s="2" t="s">
        <v>295</v>
      </c>
      <c r="H28" s="7" t="s">
        <v>346</v>
      </c>
      <c r="I28" s="2" t="s">
        <v>347</v>
      </c>
      <c r="J28" s="12" t="s">
        <v>20</v>
      </c>
      <c r="K28" s="2" t="s">
        <v>115</v>
      </c>
      <c r="L28" s="2" t="s">
        <v>348</v>
      </c>
      <c r="M28" s="2" t="s">
        <v>32</v>
      </c>
      <c r="N28" s="2" t="s">
        <v>349</v>
      </c>
    </row>
    <row r="29" ht="15.75" customHeight="1">
      <c r="A29" s="2">
        <v>28.0</v>
      </c>
      <c r="B29" s="2" t="s">
        <v>14</v>
      </c>
      <c r="C29" s="2" t="s">
        <v>350</v>
      </c>
      <c r="D29" s="4" t="s">
        <v>16</v>
      </c>
      <c r="E29" s="2" t="s">
        <v>254</v>
      </c>
      <c r="F29" s="2" t="s">
        <v>206</v>
      </c>
      <c r="G29" s="7" t="s">
        <v>351</v>
      </c>
      <c r="H29" s="7" t="s">
        <v>352</v>
      </c>
      <c r="I29" s="2" t="s">
        <v>353</v>
      </c>
      <c r="J29" s="9" t="s">
        <v>29</v>
      </c>
      <c r="K29" s="2"/>
      <c r="L29" s="7" t="s">
        <v>354</v>
      </c>
      <c r="M29" s="2" t="s">
        <v>267</v>
      </c>
      <c r="N29" s="2" t="s">
        <v>355</v>
      </c>
    </row>
    <row r="30" ht="15.75" customHeight="1">
      <c r="A30" s="2">
        <v>29.0</v>
      </c>
      <c r="B30" s="2" t="s">
        <v>14</v>
      </c>
      <c r="C30" s="2" t="s">
        <v>357</v>
      </c>
      <c r="D30" s="4" t="s">
        <v>16</v>
      </c>
      <c r="E30" s="2" t="s">
        <v>55</v>
      </c>
      <c r="F30" s="2" t="s">
        <v>206</v>
      </c>
      <c r="G30" s="7" t="s">
        <v>351</v>
      </c>
      <c r="H30" s="7" t="s">
        <v>358</v>
      </c>
      <c r="I30" s="2" t="s">
        <v>359</v>
      </c>
      <c r="J30" s="12" t="s">
        <v>20</v>
      </c>
      <c r="K30" s="2" t="s">
        <v>360</v>
      </c>
      <c r="L30" s="2" t="s">
        <v>361</v>
      </c>
      <c r="M30" s="2" t="s">
        <v>32</v>
      </c>
      <c r="N30" s="2" t="s">
        <v>362</v>
      </c>
    </row>
    <row r="31" ht="15.75" customHeight="1">
      <c r="A31" s="2">
        <v>30.0</v>
      </c>
      <c r="B31" s="2" t="s">
        <v>14</v>
      </c>
      <c r="C31" s="2" t="s">
        <v>363</v>
      </c>
      <c r="D31" s="4" t="s">
        <v>16</v>
      </c>
      <c r="E31" s="2" t="s">
        <v>55</v>
      </c>
      <c r="F31" s="2" t="s">
        <v>206</v>
      </c>
      <c r="G31" s="7" t="s">
        <v>351</v>
      </c>
      <c r="H31" s="2" t="s">
        <v>365</v>
      </c>
      <c r="I31" s="2" t="s">
        <v>366</v>
      </c>
      <c r="J31" s="13" t="s">
        <v>153</v>
      </c>
      <c r="K31" s="2" t="s">
        <v>115</v>
      </c>
      <c r="L31" s="2" t="s">
        <v>367</v>
      </c>
      <c r="M31" s="2" t="s">
        <v>32</v>
      </c>
      <c r="N31" s="2"/>
    </row>
    <row r="32" ht="15.75" customHeight="1">
      <c r="A32" s="2">
        <v>31.0</v>
      </c>
      <c r="B32" s="2" t="s">
        <v>14</v>
      </c>
      <c r="C32" s="2" t="s">
        <v>369</v>
      </c>
      <c r="D32" s="4" t="s">
        <v>16</v>
      </c>
      <c r="E32" s="2" t="s">
        <v>254</v>
      </c>
      <c r="F32" s="2" t="s">
        <v>206</v>
      </c>
      <c r="G32" s="7" t="s">
        <v>351</v>
      </c>
      <c r="H32" s="7" t="s">
        <v>371</v>
      </c>
      <c r="I32" s="2" t="s">
        <v>372</v>
      </c>
      <c r="J32" s="9" t="s">
        <v>29</v>
      </c>
      <c r="K32" s="2"/>
      <c r="L32" s="2"/>
      <c r="M32" s="2" t="s">
        <v>32</v>
      </c>
      <c r="N32" s="2"/>
    </row>
    <row r="33" ht="15.75" customHeight="1">
      <c r="A33" s="2">
        <v>32.0</v>
      </c>
      <c r="B33" s="2" t="s">
        <v>14</v>
      </c>
      <c r="C33" s="2" t="s">
        <v>373</v>
      </c>
      <c r="D33" s="4" t="s">
        <v>16</v>
      </c>
      <c r="E33" s="2" t="s">
        <v>254</v>
      </c>
      <c r="F33" s="2" t="s">
        <v>206</v>
      </c>
      <c r="G33" s="7" t="s">
        <v>351</v>
      </c>
      <c r="H33" s="7" t="s">
        <v>381</v>
      </c>
      <c r="I33" s="2" t="s">
        <v>382</v>
      </c>
      <c r="J33" s="13" t="s">
        <v>153</v>
      </c>
      <c r="K33" s="7" t="s">
        <v>155</v>
      </c>
      <c r="L33" s="16" t="s">
        <v>383</v>
      </c>
      <c r="M33" s="2" t="s">
        <v>32</v>
      </c>
      <c r="N33" s="2"/>
    </row>
    <row r="34" ht="15.75" customHeight="1">
      <c r="A34" s="2">
        <v>33.0</v>
      </c>
      <c r="B34" s="2" t="s">
        <v>14</v>
      </c>
      <c r="C34" s="2" t="s">
        <v>384</v>
      </c>
      <c r="D34" s="4" t="s">
        <v>16</v>
      </c>
      <c r="E34" s="2" t="s">
        <v>55</v>
      </c>
      <c r="F34" s="2" t="s">
        <v>206</v>
      </c>
      <c r="G34" s="7" t="s">
        <v>351</v>
      </c>
      <c r="H34" s="7" t="s">
        <v>385</v>
      </c>
      <c r="I34" s="2" t="s">
        <v>386</v>
      </c>
      <c r="J34" s="13" t="s">
        <v>153</v>
      </c>
      <c r="K34" s="7" t="s">
        <v>387</v>
      </c>
      <c r="L34" s="7" t="s">
        <v>388</v>
      </c>
      <c r="M34" s="2" t="s">
        <v>32</v>
      </c>
      <c r="N34" s="2"/>
    </row>
    <row r="35" ht="15.75" customHeight="1">
      <c r="A35" s="2">
        <v>34.0</v>
      </c>
      <c r="B35" s="2" t="s">
        <v>14</v>
      </c>
      <c r="C35" s="2" t="s">
        <v>389</v>
      </c>
      <c r="D35" s="4" t="s">
        <v>16</v>
      </c>
      <c r="E35" s="2" t="s">
        <v>254</v>
      </c>
      <c r="F35" s="2" t="s">
        <v>206</v>
      </c>
      <c r="G35" s="7" t="s">
        <v>351</v>
      </c>
      <c r="H35" s="7" t="s">
        <v>390</v>
      </c>
      <c r="I35" s="2" t="s">
        <v>391</v>
      </c>
      <c r="J35" s="13" t="s">
        <v>153</v>
      </c>
      <c r="K35" s="2"/>
      <c r="L35" s="7" t="s">
        <v>392</v>
      </c>
      <c r="M35" s="2" t="s">
        <v>32</v>
      </c>
      <c r="N35" s="2"/>
    </row>
    <row r="36" ht="15.75" customHeight="1">
      <c r="A36" s="2">
        <v>35.0</v>
      </c>
      <c r="B36" s="2" t="s">
        <v>14</v>
      </c>
      <c r="C36" s="2" t="s">
        <v>393</v>
      </c>
      <c r="D36" s="4" t="s">
        <v>16</v>
      </c>
      <c r="E36" s="2" t="s">
        <v>254</v>
      </c>
      <c r="F36" s="2" t="s">
        <v>206</v>
      </c>
      <c r="G36" s="7" t="s">
        <v>351</v>
      </c>
      <c r="H36" s="7" t="s">
        <v>299</v>
      </c>
      <c r="I36" s="2" t="s">
        <v>394</v>
      </c>
      <c r="J36" s="9" t="s">
        <v>29</v>
      </c>
      <c r="K36" s="2"/>
      <c r="L36" s="2"/>
      <c r="M36" s="2" t="s">
        <v>32</v>
      </c>
      <c r="N36" s="2"/>
    </row>
    <row r="37" ht="15.75" customHeight="1">
      <c r="A37" s="2">
        <v>36.0</v>
      </c>
      <c r="B37" s="2" t="s">
        <v>14</v>
      </c>
      <c r="C37" s="2" t="s">
        <v>395</v>
      </c>
      <c r="D37" s="4" t="s">
        <v>16</v>
      </c>
      <c r="E37" s="2" t="s">
        <v>254</v>
      </c>
      <c r="F37" s="2" t="s">
        <v>206</v>
      </c>
      <c r="G37" s="7" t="s">
        <v>351</v>
      </c>
      <c r="H37" s="2" t="s">
        <v>365</v>
      </c>
      <c r="I37" s="2" t="s">
        <v>396</v>
      </c>
      <c r="J37" s="13" t="s">
        <v>153</v>
      </c>
      <c r="K37" s="7" t="s">
        <v>155</v>
      </c>
      <c r="L37" s="16" t="s">
        <v>397</v>
      </c>
      <c r="M37" s="2" t="s">
        <v>32</v>
      </c>
      <c r="N37" s="2"/>
    </row>
    <row r="38" ht="15.75" customHeight="1">
      <c r="A38" s="2">
        <v>37.0</v>
      </c>
      <c r="B38" s="2" t="s">
        <v>14</v>
      </c>
      <c r="C38" s="2" t="s">
        <v>398</v>
      </c>
      <c r="D38" s="4" t="s">
        <v>16</v>
      </c>
      <c r="E38" s="2" t="s">
        <v>254</v>
      </c>
      <c r="F38" s="2" t="s">
        <v>206</v>
      </c>
      <c r="G38" s="7" t="s">
        <v>351</v>
      </c>
      <c r="H38" s="7" t="s">
        <v>399</v>
      </c>
      <c r="I38" s="2" t="s">
        <v>400</v>
      </c>
      <c r="J38" s="13" t="s">
        <v>153</v>
      </c>
      <c r="K38" s="7" t="s">
        <v>399</v>
      </c>
      <c r="L38" s="7" t="s">
        <v>401</v>
      </c>
      <c r="M38" s="2" t="s">
        <v>32</v>
      </c>
      <c r="N38" s="2"/>
    </row>
    <row r="39" ht="15.75" customHeight="1">
      <c r="A39" s="2">
        <v>38.0</v>
      </c>
      <c r="B39" s="2" t="s">
        <v>14</v>
      </c>
      <c r="C39" s="2" t="s">
        <v>402</v>
      </c>
      <c r="D39" s="4" t="s">
        <v>16</v>
      </c>
      <c r="E39" s="2" t="s">
        <v>55</v>
      </c>
      <c r="F39" s="2" t="s">
        <v>206</v>
      </c>
      <c r="G39" s="7" t="s">
        <v>351</v>
      </c>
      <c r="H39" s="7" t="s">
        <v>403</v>
      </c>
      <c r="I39" s="2" t="s">
        <v>404</v>
      </c>
      <c r="J39" s="9" t="s">
        <v>29</v>
      </c>
      <c r="K39" s="2" t="s">
        <v>115</v>
      </c>
      <c r="L39" s="2" t="s">
        <v>405</v>
      </c>
      <c r="M39" s="2" t="s">
        <v>32</v>
      </c>
      <c r="N39" s="2" t="s">
        <v>406</v>
      </c>
    </row>
    <row r="40" ht="15.75" customHeight="1">
      <c r="A40" s="2">
        <v>39.0</v>
      </c>
      <c r="B40" s="2" t="s">
        <v>14</v>
      </c>
      <c r="C40" s="2" t="s">
        <v>407</v>
      </c>
      <c r="D40" s="4" t="s">
        <v>16</v>
      </c>
      <c r="E40" s="2" t="s">
        <v>55</v>
      </c>
      <c r="F40" s="2" t="s">
        <v>206</v>
      </c>
      <c r="G40" s="7" t="s">
        <v>351</v>
      </c>
      <c r="H40" s="2" t="s">
        <v>408</v>
      </c>
      <c r="I40" s="2" t="s">
        <v>409</v>
      </c>
      <c r="J40" s="13" t="s">
        <v>153</v>
      </c>
      <c r="K40" s="2" t="s">
        <v>24</v>
      </c>
      <c r="L40" s="2" t="s">
        <v>410</v>
      </c>
      <c r="M40" s="2" t="s">
        <v>32</v>
      </c>
      <c r="N40" s="2"/>
    </row>
    <row r="41" ht="15.75" customHeight="1">
      <c r="A41" s="2">
        <v>40.0</v>
      </c>
      <c r="B41" s="2" t="s">
        <v>14</v>
      </c>
      <c r="C41" s="2" t="s">
        <v>411</v>
      </c>
      <c r="D41" s="4" t="s">
        <v>16</v>
      </c>
      <c r="E41" s="2" t="s">
        <v>254</v>
      </c>
      <c r="F41" s="2" t="s">
        <v>206</v>
      </c>
      <c r="G41" s="7" t="s">
        <v>351</v>
      </c>
      <c r="H41" s="7" t="s">
        <v>412</v>
      </c>
      <c r="I41" s="2" t="s">
        <v>413</v>
      </c>
      <c r="J41" s="9" t="s">
        <v>29</v>
      </c>
      <c r="K41" s="2"/>
      <c r="L41" s="2"/>
      <c r="M41" s="2" t="s">
        <v>32</v>
      </c>
      <c r="N41" s="2"/>
    </row>
    <row r="42" ht="15.75" customHeight="1">
      <c r="A42" s="2">
        <v>41.0</v>
      </c>
      <c r="B42" s="2" t="s">
        <v>14</v>
      </c>
      <c r="C42" s="2" t="s">
        <v>414</v>
      </c>
      <c r="D42" s="4" t="s">
        <v>16</v>
      </c>
      <c r="E42" s="2" t="s">
        <v>23</v>
      </c>
      <c r="F42" s="2" t="s">
        <v>206</v>
      </c>
      <c r="G42" s="7" t="s">
        <v>351</v>
      </c>
      <c r="H42" s="7" t="s">
        <v>415</v>
      </c>
      <c r="I42" s="2" t="s">
        <v>416</v>
      </c>
      <c r="J42" s="12" t="s">
        <v>20</v>
      </c>
      <c r="K42" s="2" t="s">
        <v>417</v>
      </c>
      <c r="L42" s="2" t="s">
        <v>418</v>
      </c>
      <c r="M42" s="2" t="s">
        <v>32</v>
      </c>
      <c r="N42" s="2" t="s">
        <v>419</v>
      </c>
    </row>
    <row r="43" ht="15.75" customHeight="1">
      <c r="A43" s="2">
        <v>42.0</v>
      </c>
      <c r="B43" s="2" t="s">
        <v>14</v>
      </c>
      <c r="C43" s="2" t="s">
        <v>420</v>
      </c>
      <c r="D43" s="4" t="s">
        <v>16</v>
      </c>
      <c r="E43" s="2" t="s">
        <v>254</v>
      </c>
      <c r="F43" s="2" t="s">
        <v>206</v>
      </c>
      <c r="G43" s="7" t="s">
        <v>351</v>
      </c>
      <c r="H43" s="2" t="s">
        <v>422</v>
      </c>
      <c r="I43" s="2" t="s">
        <v>423</v>
      </c>
      <c r="J43" s="9" t="s">
        <v>29</v>
      </c>
      <c r="K43" s="2"/>
      <c r="L43" s="7" t="s">
        <v>424</v>
      </c>
      <c r="M43" s="2" t="s">
        <v>32</v>
      </c>
      <c r="N43" s="2"/>
    </row>
    <row r="44" ht="15.75" customHeight="1">
      <c r="A44" s="2">
        <v>43.0</v>
      </c>
      <c r="B44" s="2" t="s">
        <v>14</v>
      </c>
      <c r="C44" s="2" t="s">
        <v>425</v>
      </c>
      <c r="D44" s="4" t="s">
        <v>16</v>
      </c>
      <c r="E44" s="2" t="s">
        <v>55</v>
      </c>
      <c r="F44" s="2" t="s">
        <v>206</v>
      </c>
      <c r="G44" s="7" t="s">
        <v>351</v>
      </c>
      <c r="H44" s="7" t="s">
        <v>426</v>
      </c>
      <c r="I44" s="2" t="s">
        <v>427</v>
      </c>
      <c r="J44" s="13" t="s">
        <v>153</v>
      </c>
      <c r="K44" s="2" t="s">
        <v>115</v>
      </c>
      <c r="L44" s="2" t="s">
        <v>428</v>
      </c>
      <c r="M44" s="2" t="s">
        <v>32</v>
      </c>
      <c r="N44" s="2" t="s">
        <v>429</v>
      </c>
    </row>
    <row r="45" ht="15.75" customHeight="1">
      <c r="A45" s="2">
        <v>44.0</v>
      </c>
      <c r="B45" s="2" t="s">
        <v>14</v>
      </c>
      <c r="C45" s="2" t="s">
        <v>425</v>
      </c>
      <c r="D45" s="4" t="s">
        <v>16</v>
      </c>
      <c r="E45" s="2" t="s">
        <v>55</v>
      </c>
      <c r="F45" s="2" t="s">
        <v>211</v>
      </c>
      <c r="G45" s="2" t="s">
        <v>284</v>
      </c>
      <c r="H45" s="7" t="s">
        <v>430</v>
      </c>
      <c r="I45" s="2" t="s">
        <v>431</v>
      </c>
      <c r="J45" s="9" t="s">
        <v>29</v>
      </c>
      <c r="K45" s="2"/>
      <c r="L45" s="7" t="s">
        <v>432</v>
      </c>
      <c r="M45" s="2" t="s">
        <v>32</v>
      </c>
      <c r="N45" s="2" t="s">
        <v>433</v>
      </c>
    </row>
    <row r="46" ht="15.75" customHeight="1">
      <c r="A46" s="2">
        <v>45.0</v>
      </c>
      <c r="B46" s="2" t="s">
        <v>14</v>
      </c>
      <c r="C46" s="2" t="s">
        <v>434</v>
      </c>
      <c r="D46" s="4" t="s">
        <v>16</v>
      </c>
      <c r="E46" s="2" t="s">
        <v>55</v>
      </c>
      <c r="F46" s="2" t="s">
        <v>211</v>
      </c>
      <c r="G46" s="2" t="s">
        <v>284</v>
      </c>
      <c r="H46" s="7" t="s">
        <v>435</v>
      </c>
      <c r="I46" s="2" t="s">
        <v>436</v>
      </c>
      <c r="J46" s="13" t="s">
        <v>153</v>
      </c>
      <c r="K46" s="2" t="s">
        <v>115</v>
      </c>
      <c r="L46" s="2" t="s">
        <v>437</v>
      </c>
      <c r="M46" s="2" t="s">
        <v>32</v>
      </c>
      <c r="N46" s="2" t="s">
        <v>438</v>
      </c>
    </row>
    <row r="47" ht="15.75" customHeight="1">
      <c r="A47" s="2">
        <v>46.0</v>
      </c>
      <c r="B47" s="2" t="s">
        <v>14</v>
      </c>
      <c r="C47" s="2" t="s">
        <v>439</v>
      </c>
      <c r="D47" s="4" t="s">
        <v>16</v>
      </c>
      <c r="E47" s="2" t="s">
        <v>441</v>
      </c>
      <c r="F47" s="2" t="s">
        <v>211</v>
      </c>
      <c r="G47" s="2" t="s">
        <v>284</v>
      </c>
      <c r="H47" s="7" t="s">
        <v>442</v>
      </c>
      <c r="I47" s="2" t="s">
        <v>443</v>
      </c>
      <c r="J47" s="9" t="s">
        <v>29</v>
      </c>
      <c r="K47" s="2"/>
      <c r="L47" s="7" t="s">
        <v>444</v>
      </c>
      <c r="M47" s="2" t="s">
        <v>32</v>
      </c>
      <c r="N47" s="2" t="s">
        <v>445</v>
      </c>
    </row>
    <row r="48" ht="15.75" customHeight="1">
      <c r="A48" s="2">
        <v>47.0</v>
      </c>
      <c r="B48" s="2" t="s">
        <v>14</v>
      </c>
      <c r="C48" s="2" t="s">
        <v>446</v>
      </c>
      <c r="D48" s="4" t="s">
        <v>16</v>
      </c>
      <c r="E48" s="2" t="s">
        <v>254</v>
      </c>
      <c r="F48" s="2" t="s">
        <v>211</v>
      </c>
      <c r="G48" s="2" t="s">
        <v>284</v>
      </c>
      <c r="H48" s="2" t="s">
        <v>447</v>
      </c>
      <c r="I48" s="2" t="s">
        <v>448</v>
      </c>
      <c r="J48" s="9" t="s">
        <v>29</v>
      </c>
      <c r="K48" s="2"/>
      <c r="L48" s="7" t="s">
        <v>449</v>
      </c>
      <c r="M48" s="2" t="s">
        <v>32</v>
      </c>
      <c r="N48" s="2" t="s">
        <v>451</v>
      </c>
    </row>
    <row r="49" ht="15.75" customHeight="1">
      <c r="A49" s="2">
        <v>48.0</v>
      </c>
      <c r="B49" s="2" t="s">
        <v>14</v>
      </c>
      <c r="C49" s="2" t="s">
        <v>452</v>
      </c>
      <c r="D49" s="4" t="s">
        <v>16</v>
      </c>
      <c r="E49" s="2" t="s">
        <v>254</v>
      </c>
      <c r="F49" s="2" t="s">
        <v>211</v>
      </c>
      <c r="G49" s="2" t="s">
        <v>284</v>
      </c>
      <c r="H49" s="7" t="s">
        <v>454</v>
      </c>
      <c r="I49" s="2" t="s">
        <v>455</v>
      </c>
      <c r="J49" s="13" t="s">
        <v>153</v>
      </c>
      <c r="K49" s="7" t="s">
        <v>155</v>
      </c>
      <c r="L49" s="7" t="s">
        <v>458</v>
      </c>
      <c r="M49" s="2" t="s">
        <v>32</v>
      </c>
      <c r="N49" s="2"/>
    </row>
    <row r="50" ht="15.75" customHeight="1">
      <c r="A50" s="2">
        <v>49.0</v>
      </c>
      <c r="B50" s="2" t="s">
        <v>14</v>
      </c>
      <c r="C50" s="2" t="s">
        <v>459</v>
      </c>
      <c r="D50" s="4" t="s">
        <v>16</v>
      </c>
      <c r="E50" s="2" t="s">
        <v>55</v>
      </c>
      <c r="F50" s="2" t="s">
        <v>211</v>
      </c>
      <c r="G50" s="2" t="s">
        <v>284</v>
      </c>
      <c r="H50" s="7" t="s">
        <v>460</v>
      </c>
      <c r="I50" s="2" t="s">
        <v>461</v>
      </c>
      <c r="J50" s="12" t="s">
        <v>20</v>
      </c>
      <c r="K50" s="2" t="s">
        <v>115</v>
      </c>
      <c r="L50" s="2" t="s">
        <v>462</v>
      </c>
      <c r="M50" s="2" t="s">
        <v>32</v>
      </c>
      <c r="N50" s="2" t="s">
        <v>464</v>
      </c>
    </row>
    <row r="51" ht="15.75" customHeight="1">
      <c r="A51" s="2">
        <v>50.0</v>
      </c>
      <c r="B51" s="2" t="s">
        <v>14</v>
      </c>
      <c r="C51" s="2" t="s">
        <v>466</v>
      </c>
      <c r="D51" s="4" t="s">
        <v>16</v>
      </c>
      <c r="E51" s="2" t="s">
        <v>55</v>
      </c>
      <c r="F51" s="2" t="s">
        <v>211</v>
      </c>
      <c r="G51" s="2" t="s">
        <v>284</v>
      </c>
      <c r="H51" s="2" t="s">
        <v>470</v>
      </c>
      <c r="I51" s="2" t="s">
        <v>471</v>
      </c>
      <c r="J51" s="13" t="s">
        <v>153</v>
      </c>
      <c r="K51" s="2" t="s">
        <v>115</v>
      </c>
      <c r="L51" s="2" t="s">
        <v>472</v>
      </c>
      <c r="M51" s="2" t="s">
        <v>32</v>
      </c>
      <c r="N51" s="2"/>
    </row>
    <row r="52" ht="15.75" customHeight="1">
      <c r="A52" s="2">
        <v>51.0</v>
      </c>
      <c r="B52" s="2" t="s">
        <v>14</v>
      </c>
      <c r="C52" s="2" t="s">
        <v>473</v>
      </c>
      <c r="D52" s="4" t="s">
        <v>16</v>
      </c>
      <c r="E52" s="2" t="s">
        <v>55</v>
      </c>
      <c r="F52" s="2" t="s">
        <v>211</v>
      </c>
      <c r="G52" s="2" t="s">
        <v>284</v>
      </c>
      <c r="H52" s="2" t="s">
        <v>474</v>
      </c>
      <c r="I52" s="2" t="s">
        <v>475</v>
      </c>
      <c r="J52" s="13" t="s">
        <v>153</v>
      </c>
      <c r="K52" s="2" t="s">
        <v>115</v>
      </c>
      <c r="L52" s="2" t="s">
        <v>476</v>
      </c>
      <c r="M52" s="2" t="s">
        <v>32</v>
      </c>
      <c r="N52" s="2"/>
    </row>
    <row r="53" ht="15.75" customHeight="1">
      <c r="A53" s="2">
        <v>52.0</v>
      </c>
      <c r="B53" s="2" t="s">
        <v>14</v>
      </c>
      <c r="C53" s="2" t="s">
        <v>477</v>
      </c>
      <c r="D53" s="4" t="s">
        <v>16</v>
      </c>
      <c r="E53" s="2" t="s">
        <v>254</v>
      </c>
      <c r="F53" s="2" t="s">
        <v>211</v>
      </c>
      <c r="G53" s="2" t="s">
        <v>284</v>
      </c>
      <c r="H53" s="7" t="s">
        <v>478</v>
      </c>
      <c r="I53" s="2" t="s">
        <v>479</v>
      </c>
      <c r="J53" s="13" t="s">
        <v>153</v>
      </c>
      <c r="K53" s="7" t="s">
        <v>155</v>
      </c>
      <c r="L53" s="16" t="s">
        <v>480</v>
      </c>
      <c r="M53" s="2" t="s">
        <v>32</v>
      </c>
      <c r="N53" s="2"/>
    </row>
    <row r="54" ht="15.75" customHeight="1">
      <c r="A54" s="2">
        <v>53.0</v>
      </c>
      <c r="B54" s="2" t="s">
        <v>14</v>
      </c>
      <c r="C54" s="2" t="s">
        <v>481</v>
      </c>
      <c r="D54" s="4" t="s">
        <v>16</v>
      </c>
      <c r="E54" s="2" t="s">
        <v>55</v>
      </c>
      <c r="F54" s="2" t="s">
        <v>211</v>
      </c>
      <c r="G54" s="2" t="s">
        <v>284</v>
      </c>
      <c r="H54" s="2" t="s">
        <v>482</v>
      </c>
      <c r="I54" s="2" t="s">
        <v>483</v>
      </c>
      <c r="J54" s="13" t="s">
        <v>153</v>
      </c>
      <c r="K54" s="2" t="s">
        <v>115</v>
      </c>
      <c r="L54" s="2" t="s">
        <v>484</v>
      </c>
      <c r="M54" s="2" t="s">
        <v>32</v>
      </c>
      <c r="N54" s="2" t="s">
        <v>485</v>
      </c>
    </row>
    <row r="55" ht="15.75" customHeight="1">
      <c r="A55" s="2">
        <v>54.0</v>
      </c>
      <c r="B55" s="2" t="s">
        <v>14</v>
      </c>
      <c r="C55" s="2" t="s">
        <v>486</v>
      </c>
      <c r="D55" s="4" t="s">
        <v>16</v>
      </c>
      <c r="E55" s="2" t="s">
        <v>487</v>
      </c>
      <c r="F55" s="2" t="s">
        <v>115</v>
      </c>
      <c r="G55" s="2" t="s">
        <v>488</v>
      </c>
      <c r="H55" s="2" t="s">
        <v>489</v>
      </c>
      <c r="I55" s="2" t="s">
        <v>490</v>
      </c>
      <c r="J55" s="9" t="s">
        <v>29</v>
      </c>
      <c r="K55" s="2"/>
      <c r="L55" s="2"/>
      <c r="M55" s="2" t="s">
        <v>32</v>
      </c>
      <c r="N55" s="2" t="s">
        <v>491</v>
      </c>
    </row>
    <row r="56" ht="15.75" customHeight="1">
      <c r="A56" s="2">
        <v>55.0</v>
      </c>
      <c r="B56" s="2" t="s">
        <v>14</v>
      </c>
      <c r="C56" s="2" t="s">
        <v>492</v>
      </c>
      <c r="D56" s="4" t="s">
        <v>16</v>
      </c>
      <c r="E56" s="2" t="s">
        <v>487</v>
      </c>
      <c r="F56" s="2" t="s">
        <v>115</v>
      </c>
      <c r="G56" s="2" t="s">
        <v>488</v>
      </c>
      <c r="H56" s="2" t="s">
        <v>493</v>
      </c>
      <c r="I56" s="2" t="s">
        <v>494</v>
      </c>
      <c r="J56" s="9" t="s">
        <v>29</v>
      </c>
      <c r="K56" s="2"/>
      <c r="L56" s="2"/>
      <c r="M56" s="2" t="s">
        <v>32</v>
      </c>
      <c r="N56" s="2"/>
    </row>
    <row r="57" ht="15.75" customHeight="1">
      <c r="A57" s="2">
        <v>56.0</v>
      </c>
      <c r="B57" s="2" t="s">
        <v>14</v>
      </c>
      <c r="C57" s="2" t="s">
        <v>495</v>
      </c>
      <c r="D57" s="4" t="s">
        <v>16</v>
      </c>
      <c r="E57" s="2" t="s">
        <v>487</v>
      </c>
      <c r="F57" s="2" t="s">
        <v>115</v>
      </c>
      <c r="G57" s="2" t="s">
        <v>488</v>
      </c>
      <c r="H57" s="2" t="s">
        <v>496</v>
      </c>
      <c r="I57" s="2" t="s">
        <v>497</v>
      </c>
      <c r="J57" s="9" t="s">
        <v>29</v>
      </c>
      <c r="K57" s="2"/>
      <c r="L57" s="2"/>
      <c r="M57" s="2" t="s">
        <v>32</v>
      </c>
      <c r="N57" s="2" t="s">
        <v>498</v>
      </c>
    </row>
    <row r="58" ht="15.75" customHeight="1">
      <c r="A58" s="2">
        <v>57.0</v>
      </c>
      <c r="B58" s="2" t="s">
        <v>14</v>
      </c>
      <c r="C58" s="2" t="s">
        <v>499</v>
      </c>
      <c r="D58" s="4" t="s">
        <v>16</v>
      </c>
      <c r="E58" s="2" t="s">
        <v>487</v>
      </c>
      <c r="F58" s="2" t="s">
        <v>115</v>
      </c>
      <c r="G58" s="2" t="s">
        <v>488</v>
      </c>
      <c r="H58" s="2" t="s">
        <v>500</v>
      </c>
      <c r="I58" s="2" t="s">
        <v>501</v>
      </c>
      <c r="J58" s="9" t="s">
        <v>29</v>
      </c>
      <c r="K58" s="2"/>
      <c r="L58" s="2"/>
      <c r="M58" s="2" t="s">
        <v>32</v>
      </c>
      <c r="N58" s="2"/>
    </row>
    <row r="59" ht="15.75" customHeight="1">
      <c r="A59" s="2">
        <v>58.0</v>
      </c>
      <c r="B59" s="2" t="s">
        <v>14</v>
      </c>
      <c r="C59" s="2" t="s">
        <v>502</v>
      </c>
      <c r="D59" s="4" t="s">
        <v>16</v>
      </c>
      <c r="E59" s="2" t="s">
        <v>487</v>
      </c>
      <c r="F59" s="2" t="s">
        <v>115</v>
      </c>
      <c r="G59" s="2" t="s">
        <v>488</v>
      </c>
      <c r="H59" s="2" t="s">
        <v>503</v>
      </c>
      <c r="I59" s="2" t="s">
        <v>504</v>
      </c>
      <c r="J59" s="9" t="s">
        <v>29</v>
      </c>
      <c r="K59" s="2"/>
      <c r="L59" s="2"/>
      <c r="M59" s="2" t="s">
        <v>32</v>
      </c>
      <c r="N59" s="2"/>
    </row>
    <row r="60" ht="15.75" customHeight="1">
      <c r="A60" s="2">
        <v>59.0</v>
      </c>
      <c r="B60" s="2" t="s">
        <v>14</v>
      </c>
      <c r="C60" s="2" t="s">
        <v>505</v>
      </c>
      <c r="D60" s="20" t="s">
        <v>16</v>
      </c>
      <c r="E60" s="2" t="s">
        <v>254</v>
      </c>
      <c r="F60" s="2" t="s">
        <v>115</v>
      </c>
      <c r="G60" s="2" t="s">
        <v>488</v>
      </c>
      <c r="H60" s="2" t="s">
        <v>506</v>
      </c>
      <c r="I60" s="2" t="s">
        <v>507</v>
      </c>
      <c r="J60" s="13" t="s">
        <v>153</v>
      </c>
      <c r="K60" s="2" t="s">
        <v>206</v>
      </c>
      <c r="L60" s="2" t="s">
        <v>508</v>
      </c>
      <c r="M60" s="2" t="s">
        <v>32</v>
      </c>
      <c r="N60" s="2"/>
    </row>
    <row r="61" ht="15.75" customHeight="1">
      <c r="A61" s="2">
        <v>62.0</v>
      </c>
      <c r="B61" s="2" t="s">
        <v>14</v>
      </c>
      <c r="C61" s="2" t="s">
        <v>261</v>
      </c>
      <c r="D61" s="4" t="s">
        <v>16</v>
      </c>
      <c r="E61" s="2" t="s">
        <v>510</v>
      </c>
      <c r="F61" s="2" t="s">
        <v>24</v>
      </c>
      <c r="G61" s="2" t="s">
        <v>25</v>
      </c>
      <c r="H61" s="7" t="s">
        <v>511</v>
      </c>
      <c r="I61" s="2" t="s">
        <v>512</v>
      </c>
      <c r="J61" s="9" t="s">
        <v>29</v>
      </c>
      <c r="K61" s="2"/>
      <c r="L61" s="7" t="s">
        <v>513</v>
      </c>
      <c r="M61" s="2" t="s">
        <v>32</v>
      </c>
      <c r="N61" s="2" t="s">
        <v>514</v>
      </c>
    </row>
    <row r="62" ht="15.75" customHeight="1">
      <c r="A62" s="2">
        <v>67.0</v>
      </c>
      <c r="B62" s="2" t="s">
        <v>515</v>
      </c>
      <c r="C62" s="2" t="s">
        <v>516</v>
      </c>
      <c r="D62" s="4" t="s">
        <v>457</v>
      </c>
      <c r="E62" s="2"/>
      <c r="F62" s="2" t="s">
        <v>211</v>
      </c>
      <c r="G62" s="2" t="s">
        <v>284</v>
      </c>
      <c r="H62" s="2" t="s">
        <v>307</v>
      </c>
      <c r="I62" s="2" t="s">
        <v>518</v>
      </c>
      <c r="J62" s="13" t="s">
        <v>153</v>
      </c>
      <c r="K62" s="2" t="s">
        <v>519</v>
      </c>
      <c r="L62" s="2" t="s">
        <v>520</v>
      </c>
      <c r="M62" s="2" t="s">
        <v>521</v>
      </c>
      <c r="N62" s="2" t="s">
        <v>522</v>
      </c>
    </row>
    <row r="63" ht="15.75" customHeight="1">
      <c r="A63" s="2">
        <v>68.0</v>
      </c>
      <c r="B63" s="2" t="s">
        <v>515</v>
      </c>
      <c r="C63" s="2" t="s">
        <v>516</v>
      </c>
      <c r="D63" s="4" t="s">
        <v>457</v>
      </c>
      <c r="E63" s="2"/>
      <c r="F63" s="2" t="s">
        <v>211</v>
      </c>
      <c r="G63" s="2" t="s">
        <v>284</v>
      </c>
      <c r="H63" s="2" t="s">
        <v>291</v>
      </c>
      <c r="I63" s="2" t="s">
        <v>523</v>
      </c>
      <c r="J63" s="13" t="s">
        <v>153</v>
      </c>
      <c r="K63" s="2" t="s">
        <v>524</v>
      </c>
      <c r="L63" s="2" t="s">
        <v>525</v>
      </c>
      <c r="M63" s="2" t="s">
        <v>521</v>
      </c>
      <c r="N63" s="2" t="s">
        <v>522</v>
      </c>
    </row>
    <row r="64" ht="15.75" customHeight="1">
      <c r="A64" s="2">
        <v>69.0</v>
      </c>
      <c r="B64" s="2" t="s">
        <v>515</v>
      </c>
      <c r="C64" s="2" t="s">
        <v>526</v>
      </c>
      <c r="D64" s="4" t="s">
        <v>457</v>
      </c>
      <c r="E64" s="2"/>
      <c r="F64" s="2" t="s">
        <v>211</v>
      </c>
      <c r="G64" s="2" t="s">
        <v>284</v>
      </c>
      <c r="H64" s="2" t="s">
        <v>527</v>
      </c>
      <c r="I64" s="2" t="s">
        <v>528</v>
      </c>
      <c r="J64" s="13" t="s">
        <v>153</v>
      </c>
      <c r="K64" s="2" t="s">
        <v>519</v>
      </c>
      <c r="L64" s="2" t="s">
        <v>529</v>
      </c>
      <c r="M64" s="2" t="s">
        <v>521</v>
      </c>
      <c r="N64" s="2" t="s">
        <v>530</v>
      </c>
    </row>
    <row r="65" ht="15.75" customHeight="1">
      <c r="A65" s="2">
        <v>70.0</v>
      </c>
      <c r="B65" s="2" t="s">
        <v>515</v>
      </c>
      <c r="C65" s="2" t="s">
        <v>531</v>
      </c>
      <c r="D65" s="4" t="s">
        <v>457</v>
      </c>
      <c r="E65" s="2"/>
      <c r="F65" s="2" t="s">
        <v>211</v>
      </c>
      <c r="G65" s="2" t="s">
        <v>284</v>
      </c>
      <c r="H65" s="2" t="s">
        <v>307</v>
      </c>
      <c r="I65" s="2" t="s">
        <v>532</v>
      </c>
      <c r="J65" s="13" t="s">
        <v>153</v>
      </c>
      <c r="K65" s="2" t="s">
        <v>519</v>
      </c>
      <c r="L65" s="2" t="s">
        <v>533</v>
      </c>
      <c r="M65" s="2" t="s">
        <v>521</v>
      </c>
      <c r="N65" s="2" t="s">
        <v>534</v>
      </c>
    </row>
    <row r="66" ht="15.75" customHeight="1">
      <c r="A66" s="2">
        <v>71.0</v>
      </c>
      <c r="B66" s="2" t="s">
        <v>515</v>
      </c>
      <c r="C66" s="2" t="s">
        <v>531</v>
      </c>
      <c r="D66" s="4" t="s">
        <v>457</v>
      </c>
      <c r="E66" s="2"/>
      <c r="F66" s="2" t="s">
        <v>211</v>
      </c>
      <c r="G66" s="2" t="s">
        <v>284</v>
      </c>
      <c r="H66" s="2" t="s">
        <v>291</v>
      </c>
      <c r="I66" s="2" t="s">
        <v>535</v>
      </c>
      <c r="J66" s="13" t="s">
        <v>153</v>
      </c>
      <c r="K66" s="2" t="s">
        <v>524</v>
      </c>
      <c r="L66" s="2" t="s">
        <v>536</v>
      </c>
      <c r="M66" s="2" t="s">
        <v>521</v>
      </c>
      <c r="N66" s="2" t="s">
        <v>534</v>
      </c>
    </row>
    <row r="67" ht="15.75" customHeight="1">
      <c r="A67" s="2">
        <v>72.0</v>
      </c>
      <c r="B67" s="2" t="s">
        <v>537</v>
      </c>
      <c r="C67" s="2" t="s">
        <v>538</v>
      </c>
      <c r="D67" s="4" t="s">
        <v>457</v>
      </c>
      <c r="E67" s="2"/>
      <c r="F67" s="2" t="s">
        <v>211</v>
      </c>
      <c r="G67" s="2" t="s">
        <v>284</v>
      </c>
      <c r="H67" s="2" t="s">
        <v>299</v>
      </c>
      <c r="I67" s="2" t="s">
        <v>539</v>
      </c>
      <c r="J67" s="13" t="s">
        <v>153</v>
      </c>
      <c r="K67" s="2" t="s">
        <v>467</v>
      </c>
      <c r="L67" s="2" t="s">
        <v>540</v>
      </c>
      <c r="M67" s="2" t="s">
        <v>521</v>
      </c>
      <c r="N67" s="2" t="s">
        <v>541</v>
      </c>
    </row>
    <row r="68" ht="15.75" customHeight="1">
      <c r="A68" s="2">
        <v>73.0</v>
      </c>
      <c r="B68" s="2" t="s">
        <v>542</v>
      </c>
      <c r="C68" s="2" t="s">
        <v>543</v>
      </c>
      <c r="D68" s="4" t="s">
        <v>457</v>
      </c>
      <c r="E68" s="2"/>
      <c r="F68" s="2" t="s">
        <v>211</v>
      </c>
      <c r="G68" s="2" t="s">
        <v>284</v>
      </c>
      <c r="H68" s="2" t="s">
        <v>544</v>
      </c>
      <c r="I68" s="2" t="s">
        <v>545</v>
      </c>
      <c r="J68" s="12" t="s">
        <v>20</v>
      </c>
      <c r="K68" s="2" t="s">
        <v>467</v>
      </c>
      <c r="L68" s="2" t="s">
        <v>546</v>
      </c>
      <c r="M68" s="2" t="s">
        <v>32</v>
      </c>
      <c r="N68" s="2" t="s">
        <v>547</v>
      </c>
    </row>
    <row r="69" ht="15.75" customHeight="1">
      <c r="A69" s="2">
        <v>74.0</v>
      </c>
      <c r="B69" s="2" t="s">
        <v>548</v>
      </c>
      <c r="C69" s="2" t="s">
        <v>283</v>
      </c>
      <c r="D69" s="4" t="s">
        <v>457</v>
      </c>
      <c r="E69" s="2"/>
      <c r="F69" s="2" t="s">
        <v>211</v>
      </c>
      <c r="G69" s="2" t="s">
        <v>284</v>
      </c>
      <c r="H69" s="2" t="s">
        <v>470</v>
      </c>
      <c r="I69" s="2" t="s">
        <v>549</v>
      </c>
      <c r="J69" s="13" t="s">
        <v>153</v>
      </c>
      <c r="K69" s="2" t="s">
        <v>467</v>
      </c>
      <c r="L69" s="2" t="s">
        <v>550</v>
      </c>
      <c r="M69" s="2" t="s">
        <v>521</v>
      </c>
      <c r="N69" s="2" t="s">
        <v>551</v>
      </c>
    </row>
    <row r="70" ht="15.75" customHeight="1">
      <c r="A70" s="2">
        <v>75.0</v>
      </c>
      <c r="B70" s="2" t="s">
        <v>552</v>
      </c>
      <c r="C70" s="2" t="s">
        <v>553</v>
      </c>
      <c r="D70" s="4" t="s">
        <v>457</v>
      </c>
      <c r="E70" s="2"/>
      <c r="F70" s="2" t="s">
        <v>211</v>
      </c>
      <c r="G70" s="2" t="s">
        <v>284</v>
      </c>
      <c r="H70" s="2" t="s">
        <v>554</v>
      </c>
      <c r="I70" s="2" t="s">
        <v>555</v>
      </c>
      <c r="J70" s="13" t="s">
        <v>153</v>
      </c>
      <c r="K70" s="2" t="s">
        <v>467</v>
      </c>
      <c r="L70" s="7" t="s">
        <v>556</v>
      </c>
      <c r="M70" s="2" t="s">
        <v>32</v>
      </c>
      <c r="N70" s="2" t="s">
        <v>557</v>
      </c>
    </row>
    <row r="71" ht="15.75" customHeight="1">
      <c r="A71" s="2">
        <v>76.0</v>
      </c>
      <c r="B71" s="2" t="s">
        <v>558</v>
      </c>
      <c r="C71" s="2" t="s">
        <v>559</v>
      </c>
      <c r="D71" s="4" t="s">
        <v>457</v>
      </c>
      <c r="E71" s="2"/>
      <c r="F71" s="2" t="s">
        <v>211</v>
      </c>
      <c r="G71" s="2" t="s">
        <v>284</v>
      </c>
      <c r="H71" s="2" t="s">
        <v>291</v>
      </c>
      <c r="I71" s="2" t="s">
        <v>560</v>
      </c>
      <c r="J71" s="12" t="s">
        <v>20</v>
      </c>
      <c r="K71" s="2" t="s">
        <v>467</v>
      </c>
      <c r="L71" s="2" t="s">
        <v>561</v>
      </c>
      <c r="M71" s="2" t="s">
        <v>32</v>
      </c>
      <c r="N71" s="2" t="s">
        <v>551</v>
      </c>
    </row>
    <row r="72" ht="15.75" customHeight="1">
      <c r="A72" s="2">
        <v>77.0</v>
      </c>
      <c r="B72" s="2" t="s">
        <v>563</v>
      </c>
      <c r="C72" s="2" t="s">
        <v>516</v>
      </c>
      <c r="D72" s="4" t="s">
        <v>457</v>
      </c>
      <c r="E72" s="2"/>
      <c r="F72" s="2" t="s">
        <v>211</v>
      </c>
      <c r="G72" s="2" t="s">
        <v>284</v>
      </c>
      <c r="H72" s="2" t="s">
        <v>564</v>
      </c>
      <c r="I72" s="2" t="s">
        <v>565</v>
      </c>
      <c r="J72" s="13" t="s">
        <v>153</v>
      </c>
      <c r="K72" s="2" t="s">
        <v>467</v>
      </c>
      <c r="L72" s="2" t="s">
        <v>566</v>
      </c>
      <c r="M72" s="2" t="s">
        <v>521</v>
      </c>
      <c r="N72" s="2" t="s">
        <v>567</v>
      </c>
    </row>
    <row r="73" ht="15.75" customHeight="1">
      <c r="A73" s="2">
        <v>78.0</v>
      </c>
      <c r="B73" s="2" t="s">
        <v>568</v>
      </c>
      <c r="C73" s="2" t="s">
        <v>569</v>
      </c>
      <c r="D73" s="4" t="s">
        <v>457</v>
      </c>
      <c r="E73" s="2"/>
      <c r="F73" s="2" t="s">
        <v>211</v>
      </c>
      <c r="G73" s="2" t="s">
        <v>284</v>
      </c>
      <c r="H73" s="2" t="s">
        <v>570</v>
      </c>
      <c r="I73" s="2" t="s">
        <v>571</v>
      </c>
      <c r="J73" s="13" t="s">
        <v>153</v>
      </c>
      <c r="K73" s="2" t="s">
        <v>467</v>
      </c>
      <c r="L73" s="2" t="s">
        <v>572</v>
      </c>
      <c r="M73" s="2" t="s">
        <v>521</v>
      </c>
      <c r="N73" s="2" t="s">
        <v>573</v>
      </c>
    </row>
    <row r="74" ht="15.75" customHeight="1">
      <c r="A74" s="2">
        <v>79.0</v>
      </c>
      <c r="B74" s="2" t="s">
        <v>574</v>
      </c>
      <c r="C74" s="2" t="s">
        <v>575</v>
      </c>
      <c r="D74" s="4" t="s">
        <v>457</v>
      </c>
      <c r="E74" s="2"/>
      <c r="F74" s="2" t="s">
        <v>211</v>
      </c>
      <c r="G74" s="2" t="s">
        <v>284</v>
      </c>
      <c r="H74" s="2" t="s">
        <v>470</v>
      </c>
      <c r="I74" s="2" t="s">
        <v>576</v>
      </c>
      <c r="J74" s="13" t="s">
        <v>153</v>
      </c>
      <c r="K74" s="2" t="s">
        <v>467</v>
      </c>
      <c r="L74" s="2" t="s">
        <v>577</v>
      </c>
      <c r="M74" s="2" t="s">
        <v>521</v>
      </c>
      <c r="N74" s="2" t="s">
        <v>578</v>
      </c>
    </row>
    <row r="75" ht="15.75" customHeight="1">
      <c r="A75" s="2">
        <v>80.0</v>
      </c>
      <c r="B75" s="2" t="s">
        <v>453</v>
      </c>
      <c r="C75" s="2" t="s">
        <v>456</v>
      </c>
      <c r="D75" s="4" t="s">
        <v>457</v>
      </c>
      <c r="E75" s="2"/>
      <c r="F75" s="2" t="s">
        <v>211</v>
      </c>
      <c r="G75" s="2" t="s">
        <v>284</v>
      </c>
      <c r="H75" s="2" t="s">
        <v>570</v>
      </c>
      <c r="I75" s="7" t="s">
        <v>465</v>
      </c>
      <c r="J75" s="12" t="s">
        <v>20</v>
      </c>
      <c r="K75" s="2" t="s">
        <v>467</v>
      </c>
      <c r="L75" s="2" t="s">
        <v>468</v>
      </c>
      <c r="M75" s="2" t="s">
        <v>32</v>
      </c>
      <c r="N75" s="2" t="s">
        <v>579</v>
      </c>
    </row>
    <row r="76" ht="15.75" customHeight="1">
      <c r="A76" s="2">
        <v>81.0</v>
      </c>
      <c r="B76" s="2" t="s">
        <v>580</v>
      </c>
      <c r="C76" s="2" t="s">
        <v>581</v>
      </c>
      <c r="D76" s="4" t="s">
        <v>457</v>
      </c>
      <c r="E76" s="2"/>
      <c r="F76" s="2" t="s">
        <v>211</v>
      </c>
      <c r="G76" s="2" t="s">
        <v>284</v>
      </c>
      <c r="H76" s="2" t="s">
        <v>470</v>
      </c>
      <c r="I76" s="2" t="s">
        <v>582</v>
      </c>
      <c r="J76" s="13" t="s">
        <v>153</v>
      </c>
      <c r="K76" s="2" t="s">
        <v>467</v>
      </c>
      <c r="L76" s="2" t="s">
        <v>583</v>
      </c>
      <c r="M76" s="2" t="s">
        <v>521</v>
      </c>
      <c r="N76" s="2" t="s">
        <v>584</v>
      </c>
    </row>
    <row r="77" ht="15.75" customHeight="1">
      <c r="A77" s="2">
        <v>82.0</v>
      </c>
      <c r="B77" s="2" t="s">
        <v>586</v>
      </c>
      <c r="C77" s="2" t="s">
        <v>587</v>
      </c>
      <c r="D77" s="4" t="s">
        <v>457</v>
      </c>
      <c r="E77" s="2"/>
      <c r="F77" s="2" t="s">
        <v>211</v>
      </c>
      <c r="G77" s="2" t="s">
        <v>284</v>
      </c>
      <c r="H77" s="2" t="s">
        <v>263</v>
      </c>
      <c r="I77" s="2" t="s">
        <v>588</v>
      </c>
      <c r="J77" s="13" t="s">
        <v>153</v>
      </c>
      <c r="K77" s="2" t="s">
        <v>467</v>
      </c>
      <c r="L77" s="2" t="s">
        <v>589</v>
      </c>
      <c r="M77" s="2" t="s">
        <v>521</v>
      </c>
      <c r="N77" s="2" t="s">
        <v>590</v>
      </c>
    </row>
    <row r="78" ht="15.75" customHeight="1">
      <c r="A78" s="2">
        <v>83.0</v>
      </c>
      <c r="B78" s="2" t="s">
        <v>591</v>
      </c>
      <c r="C78" s="2" t="s">
        <v>587</v>
      </c>
      <c r="D78" s="4" t="s">
        <v>457</v>
      </c>
      <c r="E78" s="2"/>
      <c r="F78" s="2" t="s">
        <v>211</v>
      </c>
      <c r="G78" s="2" t="s">
        <v>284</v>
      </c>
      <c r="H78" s="2" t="s">
        <v>592</v>
      </c>
      <c r="I78" s="2" t="s">
        <v>593</v>
      </c>
      <c r="J78" s="13" t="s">
        <v>153</v>
      </c>
      <c r="K78" s="2" t="s">
        <v>467</v>
      </c>
      <c r="L78" s="2" t="s">
        <v>594</v>
      </c>
      <c r="M78" s="2" t="s">
        <v>521</v>
      </c>
      <c r="N78" s="2" t="s">
        <v>595</v>
      </c>
    </row>
    <row r="79" ht="15.75" customHeight="1">
      <c r="A79" s="2">
        <v>84.0</v>
      </c>
      <c r="B79" s="2" t="s">
        <v>596</v>
      </c>
      <c r="C79" s="2" t="s">
        <v>597</v>
      </c>
      <c r="D79" s="4" t="s">
        <v>457</v>
      </c>
      <c r="E79" s="2"/>
      <c r="F79" s="2" t="s">
        <v>211</v>
      </c>
      <c r="G79" s="2" t="s">
        <v>284</v>
      </c>
      <c r="H79" s="2" t="s">
        <v>598</v>
      </c>
      <c r="I79" s="2" t="s">
        <v>599</v>
      </c>
      <c r="J79" s="13" t="s">
        <v>153</v>
      </c>
      <c r="K79" s="2" t="s">
        <v>467</v>
      </c>
      <c r="L79" s="2" t="s">
        <v>600</v>
      </c>
      <c r="M79" s="2" t="s">
        <v>521</v>
      </c>
      <c r="N79" s="2" t="s">
        <v>601</v>
      </c>
    </row>
    <row r="80" ht="15.75" customHeight="1">
      <c r="A80" s="2">
        <v>85.0</v>
      </c>
      <c r="B80" s="2" t="s">
        <v>602</v>
      </c>
      <c r="C80" s="2" t="s">
        <v>603</v>
      </c>
      <c r="D80" s="4" t="s">
        <v>457</v>
      </c>
      <c r="E80" s="2"/>
      <c r="F80" s="2" t="s">
        <v>211</v>
      </c>
      <c r="G80" s="2" t="s">
        <v>284</v>
      </c>
      <c r="H80" s="2" t="s">
        <v>290</v>
      </c>
      <c r="I80" s="2" t="s">
        <v>604</v>
      </c>
      <c r="J80" s="12" t="s">
        <v>20</v>
      </c>
      <c r="K80" s="2" t="s">
        <v>467</v>
      </c>
      <c r="L80" s="2" t="s">
        <v>605</v>
      </c>
      <c r="M80" s="2" t="s">
        <v>32</v>
      </c>
      <c r="N80" s="2" t="s">
        <v>606</v>
      </c>
    </row>
    <row r="81" ht="15.75" customHeight="1">
      <c r="A81" s="2">
        <v>86.0</v>
      </c>
      <c r="B81" s="2" t="s">
        <v>607</v>
      </c>
      <c r="C81" s="2" t="s">
        <v>608</v>
      </c>
      <c r="D81" s="4" t="s">
        <v>457</v>
      </c>
      <c r="E81" s="2"/>
      <c r="F81" s="2" t="s">
        <v>211</v>
      </c>
      <c r="G81" s="2" t="s">
        <v>284</v>
      </c>
      <c r="H81" s="2" t="s">
        <v>470</v>
      </c>
      <c r="I81" s="2" t="s">
        <v>609</v>
      </c>
      <c r="J81" s="13" t="s">
        <v>153</v>
      </c>
      <c r="K81" s="2" t="s">
        <v>467</v>
      </c>
      <c r="L81" s="2" t="s">
        <v>610</v>
      </c>
      <c r="M81" s="2" t="s">
        <v>521</v>
      </c>
      <c r="N81" s="2" t="s">
        <v>611</v>
      </c>
    </row>
    <row r="82" ht="15.75" customHeight="1">
      <c r="A82" s="2">
        <v>87.0</v>
      </c>
      <c r="B82" s="2" t="s">
        <v>612</v>
      </c>
      <c r="C82" s="2" t="s">
        <v>613</v>
      </c>
      <c r="D82" s="4" t="s">
        <v>457</v>
      </c>
      <c r="E82" s="2"/>
      <c r="F82" s="2" t="s">
        <v>211</v>
      </c>
      <c r="G82" s="2" t="s">
        <v>284</v>
      </c>
      <c r="H82" s="2" t="s">
        <v>263</v>
      </c>
      <c r="I82" s="2" t="s">
        <v>614</v>
      </c>
      <c r="J82" s="12" t="s">
        <v>20</v>
      </c>
      <c r="K82" s="2" t="s">
        <v>467</v>
      </c>
      <c r="L82" s="2" t="s">
        <v>615</v>
      </c>
      <c r="M82" s="2" t="s">
        <v>32</v>
      </c>
      <c r="N82" s="2" t="s">
        <v>611</v>
      </c>
    </row>
    <row r="83" ht="15.75" customHeight="1">
      <c r="A83" s="2">
        <v>88.0</v>
      </c>
      <c r="B83" s="2" t="s">
        <v>616</v>
      </c>
      <c r="C83" s="2" t="s">
        <v>617</v>
      </c>
      <c r="D83" s="4" t="s">
        <v>457</v>
      </c>
      <c r="E83" s="2"/>
      <c r="F83" s="2" t="s">
        <v>211</v>
      </c>
      <c r="G83" s="2" t="s">
        <v>284</v>
      </c>
      <c r="H83" s="2" t="s">
        <v>618</v>
      </c>
      <c r="I83" s="2" t="s">
        <v>619</v>
      </c>
      <c r="J83" s="13" t="s">
        <v>153</v>
      </c>
      <c r="K83" s="2" t="s">
        <v>467</v>
      </c>
      <c r="L83" s="2" t="s">
        <v>620</v>
      </c>
      <c r="M83" s="2" t="s">
        <v>521</v>
      </c>
      <c r="N83" s="2" t="s">
        <v>530</v>
      </c>
    </row>
    <row r="84" ht="15.75" customHeight="1">
      <c r="A84" s="2">
        <v>89.0</v>
      </c>
      <c r="B84" s="2" t="s">
        <v>621</v>
      </c>
      <c r="C84" s="2" t="s">
        <v>622</v>
      </c>
      <c r="D84" s="4" t="s">
        <v>457</v>
      </c>
      <c r="E84" s="2"/>
      <c r="F84" s="2" t="s">
        <v>211</v>
      </c>
      <c r="G84" s="2" t="s">
        <v>284</v>
      </c>
      <c r="H84" s="2" t="s">
        <v>623</v>
      </c>
      <c r="I84" s="2" t="s">
        <v>624</v>
      </c>
      <c r="J84" s="13" t="s">
        <v>153</v>
      </c>
      <c r="K84" s="2" t="s">
        <v>467</v>
      </c>
      <c r="L84" s="2" t="s">
        <v>625</v>
      </c>
      <c r="M84" s="2" t="s">
        <v>521</v>
      </c>
      <c r="N84" s="2" t="s">
        <v>530</v>
      </c>
    </row>
    <row r="85" ht="15.75" customHeight="1">
      <c r="A85" s="2">
        <v>90.0</v>
      </c>
      <c r="B85" s="2" t="s">
        <v>626</v>
      </c>
      <c r="C85" s="2" t="s">
        <v>627</v>
      </c>
      <c r="D85" s="4" t="s">
        <v>457</v>
      </c>
      <c r="E85" s="2"/>
      <c r="F85" s="2" t="s">
        <v>211</v>
      </c>
      <c r="G85" s="2" t="s">
        <v>284</v>
      </c>
      <c r="H85" s="2" t="s">
        <v>628</v>
      </c>
      <c r="I85" s="2" t="s">
        <v>629</v>
      </c>
      <c r="J85" s="13" t="s">
        <v>153</v>
      </c>
      <c r="K85" s="2" t="s">
        <v>467</v>
      </c>
      <c r="L85" s="2" t="s">
        <v>630</v>
      </c>
      <c r="M85" s="2" t="s">
        <v>521</v>
      </c>
      <c r="N85" s="2" t="s">
        <v>631</v>
      </c>
    </row>
    <row r="86" ht="15.75" customHeight="1">
      <c r="A86" s="2">
        <v>91.0</v>
      </c>
      <c r="B86" s="2" t="s">
        <v>632</v>
      </c>
      <c r="C86" s="2" t="s">
        <v>633</v>
      </c>
      <c r="D86" s="4" t="s">
        <v>457</v>
      </c>
      <c r="E86" s="2"/>
      <c r="F86" s="2" t="s">
        <v>211</v>
      </c>
      <c r="G86" s="2" t="s">
        <v>284</v>
      </c>
      <c r="H86" s="2" t="s">
        <v>634</v>
      </c>
      <c r="I86" s="2" t="s">
        <v>635</v>
      </c>
      <c r="J86" s="13" t="s">
        <v>153</v>
      </c>
      <c r="K86" s="2" t="s">
        <v>467</v>
      </c>
      <c r="L86" s="2" t="s">
        <v>636</v>
      </c>
      <c r="M86" s="2" t="s">
        <v>521</v>
      </c>
      <c r="N86" s="2" t="s">
        <v>631</v>
      </c>
    </row>
    <row r="87" ht="15.75" customHeight="1">
      <c r="A87" s="2">
        <v>92.0</v>
      </c>
      <c r="B87" s="2" t="s">
        <v>637</v>
      </c>
      <c r="C87" s="2" t="s">
        <v>633</v>
      </c>
      <c r="D87" s="4" t="s">
        <v>457</v>
      </c>
      <c r="E87" s="2"/>
      <c r="F87" s="2" t="s">
        <v>211</v>
      </c>
      <c r="G87" s="2" t="s">
        <v>284</v>
      </c>
      <c r="H87" s="7" t="s">
        <v>430</v>
      </c>
      <c r="I87" s="2" t="s">
        <v>638</v>
      </c>
      <c r="J87" s="9" t="s">
        <v>29</v>
      </c>
      <c r="K87" s="2"/>
      <c r="L87" s="2"/>
      <c r="M87" s="2" t="s">
        <v>32</v>
      </c>
      <c r="N87" s="2" t="s">
        <v>639</v>
      </c>
    </row>
    <row r="88" ht="15.75" customHeight="1">
      <c r="A88" s="2">
        <v>93.0</v>
      </c>
      <c r="B88" s="2" t="s">
        <v>640</v>
      </c>
      <c r="C88" s="2" t="s">
        <v>641</v>
      </c>
      <c r="D88" s="4" t="s">
        <v>457</v>
      </c>
      <c r="E88" s="2"/>
      <c r="F88" s="2" t="s">
        <v>211</v>
      </c>
      <c r="G88" s="2" t="s">
        <v>284</v>
      </c>
      <c r="H88" s="2" t="s">
        <v>642</v>
      </c>
      <c r="I88" s="2" t="s">
        <v>643</v>
      </c>
      <c r="J88" s="13" t="s">
        <v>153</v>
      </c>
      <c r="K88" s="2" t="s">
        <v>467</v>
      </c>
      <c r="L88" s="2" t="s">
        <v>644</v>
      </c>
      <c r="M88" s="2" t="s">
        <v>521</v>
      </c>
      <c r="N88" s="2" t="s">
        <v>631</v>
      </c>
    </row>
    <row r="89" ht="15.75" customHeight="1">
      <c r="A89" s="2">
        <v>94.0</v>
      </c>
      <c r="B89" s="2" t="s">
        <v>645</v>
      </c>
      <c r="C89" s="2" t="s">
        <v>531</v>
      </c>
      <c r="D89" s="4" t="s">
        <v>457</v>
      </c>
      <c r="E89" s="2"/>
      <c r="F89" s="2" t="s">
        <v>211</v>
      </c>
      <c r="G89" s="2" t="s">
        <v>284</v>
      </c>
      <c r="H89" s="2" t="s">
        <v>647</v>
      </c>
      <c r="I89" s="2" t="s">
        <v>648</v>
      </c>
      <c r="J89" s="13" t="s">
        <v>153</v>
      </c>
      <c r="K89" s="2" t="s">
        <v>467</v>
      </c>
      <c r="L89" s="2" t="s">
        <v>649</v>
      </c>
      <c r="M89" s="2" t="s">
        <v>521</v>
      </c>
      <c r="N89" s="2" t="s">
        <v>650</v>
      </c>
    </row>
    <row r="90" ht="15.75" customHeight="1">
      <c r="A90" s="2">
        <v>95.0</v>
      </c>
      <c r="B90" s="2" t="s">
        <v>651</v>
      </c>
      <c r="C90" s="2" t="s">
        <v>652</v>
      </c>
      <c r="D90" s="4" t="s">
        <v>457</v>
      </c>
      <c r="E90" s="2"/>
      <c r="F90" s="2" t="s">
        <v>211</v>
      </c>
      <c r="G90" s="2" t="s">
        <v>284</v>
      </c>
      <c r="H90" s="2" t="s">
        <v>263</v>
      </c>
      <c r="I90" s="2" t="s">
        <v>653</v>
      </c>
      <c r="J90" s="13" t="s">
        <v>153</v>
      </c>
      <c r="K90" s="2" t="s">
        <v>467</v>
      </c>
      <c r="L90" s="2" t="s">
        <v>654</v>
      </c>
      <c r="M90" s="2" t="s">
        <v>521</v>
      </c>
      <c r="N90" s="2" t="s">
        <v>655</v>
      </c>
    </row>
    <row r="91" ht="15.75" customHeight="1">
      <c r="A91" s="2">
        <v>96.0</v>
      </c>
      <c r="B91" s="2" t="s">
        <v>656</v>
      </c>
      <c r="C91" s="2" t="s">
        <v>657</v>
      </c>
      <c r="D91" s="4" t="s">
        <v>457</v>
      </c>
      <c r="E91" s="2"/>
      <c r="F91" s="2" t="s">
        <v>211</v>
      </c>
      <c r="G91" s="2" t="s">
        <v>284</v>
      </c>
      <c r="H91" s="7" t="s">
        <v>658</v>
      </c>
      <c r="I91" s="2" t="s">
        <v>659</v>
      </c>
      <c r="J91" s="9" t="s">
        <v>29</v>
      </c>
      <c r="K91" s="2"/>
      <c r="L91" s="2"/>
      <c r="M91" s="2" t="s">
        <v>32</v>
      </c>
      <c r="N91" s="2" t="s">
        <v>660</v>
      </c>
    </row>
    <row r="92" ht="15.75" customHeight="1">
      <c r="A92" s="2">
        <v>97.0</v>
      </c>
      <c r="B92" s="2" t="s">
        <v>661</v>
      </c>
      <c r="C92" s="2" t="s">
        <v>662</v>
      </c>
      <c r="D92" s="4" t="s">
        <v>457</v>
      </c>
      <c r="E92" s="2"/>
      <c r="F92" s="2" t="s">
        <v>211</v>
      </c>
      <c r="G92" s="2" t="s">
        <v>284</v>
      </c>
      <c r="H92" s="7" t="s">
        <v>663</v>
      </c>
      <c r="I92" s="2" t="s">
        <v>664</v>
      </c>
      <c r="J92" s="12" t="s">
        <v>20</v>
      </c>
      <c r="K92" s="2" t="s">
        <v>467</v>
      </c>
      <c r="L92" s="2" t="s">
        <v>665</v>
      </c>
      <c r="M92" s="2" t="s">
        <v>32</v>
      </c>
      <c r="N92" s="2" t="s">
        <v>655</v>
      </c>
    </row>
    <row r="93" ht="15.75" customHeight="1">
      <c r="A93" s="2">
        <v>98.0</v>
      </c>
      <c r="B93" s="2" t="s">
        <v>666</v>
      </c>
      <c r="C93" s="2" t="s">
        <v>446</v>
      </c>
      <c r="D93" s="4" t="s">
        <v>457</v>
      </c>
      <c r="E93" s="2"/>
      <c r="F93" s="2" t="s">
        <v>211</v>
      </c>
      <c r="G93" s="2" t="s">
        <v>284</v>
      </c>
      <c r="H93" s="2" t="s">
        <v>598</v>
      </c>
      <c r="I93" s="2" t="s">
        <v>667</v>
      </c>
      <c r="J93" s="13" t="s">
        <v>153</v>
      </c>
      <c r="K93" s="2" t="s">
        <v>467</v>
      </c>
      <c r="L93" s="2" t="s">
        <v>668</v>
      </c>
      <c r="M93" s="2" t="s">
        <v>521</v>
      </c>
      <c r="N93" s="2" t="s">
        <v>669</v>
      </c>
    </row>
    <row r="94" ht="15.75" customHeight="1">
      <c r="A94" s="2">
        <v>99.0</v>
      </c>
      <c r="B94" s="2" t="s">
        <v>670</v>
      </c>
      <c r="C94" s="2" t="s">
        <v>671</v>
      </c>
      <c r="D94" s="4" t="s">
        <v>457</v>
      </c>
      <c r="E94" s="2"/>
      <c r="F94" s="2" t="s">
        <v>211</v>
      </c>
      <c r="G94" s="2" t="s">
        <v>284</v>
      </c>
      <c r="H94" s="7" t="s">
        <v>672</v>
      </c>
      <c r="I94" s="2" t="s">
        <v>673</v>
      </c>
      <c r="J94" s="9" t="s">
        <v>29</v>
      </c>
      <c r="K94" s="2"/>
      <c r="L94" s="2"/>
      <c r="M94" s="2" t="s">
        <v>32</v>
      </c>
      <c r="N94" s="2" t="s">
        <v>674</v>
      </c>
    </row>
    <row r="95" ht="15.75" customHeight="1">
      <c r="A95" s="2">
        <v>100.0</v>
      </c>
      <c r="B95" s="2" t="s">
        <v>676</v>
      </c>
      <c r="C95" s="2" t="s">
        <v>581</v>
      </c>
      <c r="D95" s="4" t="s">
        <v>457</v>
      </c>
      <c r="E95" s="2"/>
      <c r="F95" s="2" t="s">
        <v>211</v>
      </c>
      <c r="G95" s="2" t="s">
        <v>284</v>
      </c>
      <c r="H95" s="2" t="s">
        <v>592</v>
      </c>
      <c r="I95" s="2" t="s">
        <v>677</v>
      </c>
      <c r="J95" s="13" t="s">
        <v>153</v>
      </c>
      <c r="K95" s="2" t="s">
        <v>467</v>
      </c>
      <c r="L95" s="2" t="s">
        <v>678</v>
      </c>
      <c r="M95" s="2" t="s">
        <v>521</v>
      </c>
      <c r="N95" s="2" t="s">
        <v>679</v>
      </c>
    </row>
    <row r="96" ht="15.75" customHeight="1">
      <c r="A96" s="2">
        <v>101.0</v>
      </c>
      <c r="B96" s="2" t="s">
        <v>680</v>
      </c>
      <c r="C96" s="2" t="s">
        <v>553</v>
      </c>
      <c r="D96" s="4" t="s">
        <v>457</v>
      </c>
      <c r="E96" s="2"/>
      <c r="F96" s="2" t="s">
        <v>211</v>
      </c>
      <c r="G96" s="2" t="s">
        <v>284</v>
      </c>
      <c r="H96" s="2" t="s">
        <v>681</v>
      </c>
      <c r="I96" s="2" t="s">
        <v>682</v>
      </c>
      <c r="J96" s="13" t="s">
        <v>153</v>
      </c>
      <c r="K96" s="2" t="s">
        <v>467</v>
      </c>
      <c r="L96" s="2" t="s">
        <v>683</v>
      </c>
      <c r="M96" s="2" t="s">
        <v>521</v>
      </c>
      <c r="N96" s="2" t="s">
        <v>679</v>
      </c>
    </row>
    <row r="97" ht="15.75" customHeight="1">
      <c r="A97" s="2">
        <v>102.0</v>
      </c>
      <c r="B97" s="2" t="s">
        <v>684</v>
      </c>
      <c r="C97" s="2" t="s">
        <v>685</v>
      </c>
      <c r="D97" s="4" t="s">
        <v>457</v>
      </c>
      <c r="E97" s="2"/>
      <c r="F97" s="2" t="s">
        <v>211</v>
      </c>
      <c r="G97" s="2" t="s">
        <v>284</v>
      </c>
      <c r="H97" s="2" t="s">
        <v>681</v>
      </c>
      <c r="I97" s="2" t="s">
        <v>686</v>
      </c>
      <c r="J97" s="13" t="s">
        <v>153</v>
      </c>
      <c r="K97" s="2" t="s">
        <v>467</v>
      </c>
      <c r="L97" s="2" t="s">
        <v>687</v>
      </c>
      <c r="M97" s="2" t="s">
        <v>521</v>
      </c>
      <c r="N97" s="2" t="s">
        <v>679</v>
      </c>
    </row>
    <row r="98" ht="15.75" customHeight="1">
      <c r="A98" s="2">
        <v>103.0</v>
      </c>
      <c r="B98" s="2" t="s">
        <v>688</v>
      </c>
      <c r="C98" s="2" t="s">
        <v>689</v>
      </c>
      <c r="D98" s="4" t="s">
        <v>457</v>
      </c>
      <c r="E98" s="2"/>
      <c r="F98" s="2" t="s">
        <v>211</v>
      </c>
      <c r="G98" s="2" t="s">
        <v>284</v>
      </c>
      <c r="H98" s="2" t="s">
        <v>681</v>
      </c>
      <c r="I98" s="2" t="s">
        <v>690</v>
      </c>
      <c r="J98" s="13" t="s">
        <v>153</v>
      </c>
      <c r="K98" s="2" t="s">
        <v>467</v>
      </c>
      <c r="L98" s="2" t="s">
        <v>691</v>
      </c>
      <c r="M98" s="2" t="s">
        <v>521</v>
      </c>
      <c r="N98" s="2" t="s">
        <v>679</v>
      </c>
    </row>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sheetData>
  <autoFilter ref="$J$1:$J$994">
    <filterColumn colId="0">
      <filters>
        <filter val="Нет"/>
        <filter val="Частично"/>
        <filter val="Да"/>
      </filters>
    </filterColumn>
  </autoFilter>
  <hyperlinks>
    <hyperlink r:id="rId4" ref="D2"/>
    <hyperlink r:id="rId5" ref="D3"/>
    <hyperlink r:id="rId6" ref="D4"/>
    <hyperlink r:id="rId7" ref="D5"/>
    <hyperlink r:id="rId8" ref="L5"/>
    <hyperlink r:id="rId9" ref="D6"/>
    <hyperlink r:id="rId10" ref="D7"/>
    <hyperlink r:id="rId11" ref="D8"/>
    <hyperlink r:id="rId12" ref="D9"/>
    <hyperlink r:id="rId13" ref="L9"/>
    <hyperlink r:id="rId14" ref="D10"/>
    <hyperlink r:id="rId15" ref="D11"/>
    <hyperlink r:id="rId16" ref="D12"/>
    <hyperlink r:id="rId17" ref="D13"/>
    <hyperlink r:id="rId18" ref="D14"/>
    <hyperlink r:id="rId19" ref="D15"/>
    <hyperlink r:id="rId20" ref="D16"/>
    <hyperlink r:id="rId21" ref="D17"/>
    <hyperlink r:id="rId22" ref="D18"/>
    <hyperlink r:id="rId23" ref="D19"/>
    <hyperlink r:id="rId24" ref="L19"/>
    <hyperlink r:id="rId25" ref="D20"/>
    <hyperlink r:id="rId26" ref="D21"/>
    <hyperlink r:id="rId27" ref="D22"/>
    <hyperlink r:id="rId28" ref="L22"/>
    <hyperlink r:id="rId29" ref="D23"/>
    <hyperlink r:id="rId30" ref="D24"/>
    <hyperlink r:id="rId31" ref="L24"/>
    <hyperlink r:id="rId32" ref="D25"/>
    <hyperlink r:id="rId33" ref="D26"/>
    <hyperlink r:id="rId34" ref="D27"/>
    <hyperlink r:id="rId35" ref="D28"/>
    <hyperlink r:id="rId36" ref="D29"/>
    <hyperlink r:id="rId37" ref="D30"/>
    <hyperlink r:id="rId38" ref="D31"/>
    <hyperlink r:id="rId39" ref="D32"/>
    <hyperlink r:id="rId40" ref="D33"/>
    <hyperlink r:id="rId41" ref="L33"/>
    <hyperlink r:id="rId42" ref="D34"/>
    <hyperlink r:id="rId43" ref="D35"/>
    <hyperlink r:id="rId44" ref="D36"/>
    <hyperlink r:id="rId45" ref="D37"/>
    <hyperlink r:id="rId46" ref="L37"/>
    <hyperlink r:id="rId47" ref="D38"/>
    <hyperlink r:id="rId48" ref="D39"/>
    <hyperlink r:id="rId49" ref="D40"/>
    <hyperlink r:id="rId50" ref="D41"/>
    <hyperlink r:id="rId51" ref="D42"/>
    <hyperlink r:id="rId52" ref="D43"/>
    <hyperlink r:id="rId53" ref="D44"/>
    <hyperlink r:id="rId54" ref="D45"/>
    <hyperlink r:id="rId55" ref="D46"/>
    <hyperlink r:id="rId56" ref="D47"/>
    <hyperlink r:id="rId57" ref="D48"/>
    <hyperlink r:id="rId58" ref="D49"/>
    <hyperlink r:id="rId59" ref="D50"/>
    <hyperlink r:id="rId60" ref="D51"/>
    <hyperlink r:id="rId61" ref="D52"/>
    <hyperlink r:id="rId62" ref="D53"/>
    <hyperlink r:id="rId63" ref="L53"/>
    <hyperlink r:id="rId64" ref="D54"/>
    <hyperlink r:id="rId65" ref="D55"/>
    <hyperlink r:id="rId66" ref="D56"/>
    <hyperlink r:id="rId67" ref="D57"/>
    <hyperlink r:id="rId68" ref="D58"/>
    <hyperlink r:id="rId69" ref="D59"/>
    <hyperlink r:id="rId70" ref="D60"/>
    <hyperlink r:id="rId71" ref="D61"/>
    <hyperlink r:id="rId72" ref="D62"/>
    <hyperlink r:id="rId73" ref="D63"/>
    <hyperlink r:id="rId74" ref="D64"/>
    <hyperlink r:id="rId75" ref="D65"/>
    <hyperlink r:id="rId76" ref="D66"/>
    <hyperlink r:id="rId77" ref="D67"/>
    <hyperlink r:id="rId78" ref="D68"/>
    <hyperlink r:id="rId79" ref="D69"/>
    <hyperlink r:id="rId80" ref="D70"/>
    <hyperlink r:id="rId81" ref="D71"/>
    <hyperlink r:id="rId82" ref="D72"/>
    <hyperlink r:id="rId83" ref="D73"/>
    <hyperlink r:id="rId84" ref="D74"/>
    <hyperlink r:id="rId85" ref="D75"/>
    <hyperlink r:id="rId86" ref="D76"/>
    <hyperlink r:id="rId87" ref="D77"/>
    <hyperlink r:id="rId88" ref="D78"/>
    <hyperlink r:id="rId89" ref="D79"/>
    <hyperlink r:id="rId90" ref="D80"/>
    <hyperlink r:id="rId91" ref="D81"/>
    <hyperlink r:id="rId92" ref="D82"/>
    <hyperlink r:id="rId93" ref="D83"/>
    <hyperlink r:id="rId94" ref="D84"/>
    <hyperlink r:id="rId95" ref="D85"/>
    <hyperlink r:id="rId96" ref="D86"/>
    <hyperlink r:id="rId97" ref="D87"/>
    <hyperlink r:id="rId98" ref="D88"/>
    <hyperlink r:id="rId99" ref="D89"/>
    <hyperlink r:id="rId100" ref="D90"/>
    <hyperlink r:id="rId101" ref="D91"/>
    <hyperlink r:id="rId102" ref="D92"/>
    <hyperlink r:id="rId103" ref="D93"/>
    <hyperlink r:id="rId104" ref="D94"/>
    <hyperlink r:id="rId105" ref="D95"/>
    <hyperlink r:id="rId106" ref="D96"/>
    <hyperlink r:id="rId107" ref="D97"/>
    <hyperlink r:id="rId108" ref="D98"/>
  </hyperlinks>
  <printOptions/>
  <pageMargins bottom="1.0" footer="0.0" header="0.0" left="0.75" right="0.75" top="1.0"/>
  <pageSetup paperSize="9" orientation="portrait"/>
  <drawing r:id="rId109"/>
  <legacyDrawing r:id="rId1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5" width="14.0"/>
    <col customWidth="1" min="6" max="26" width="8.71"/>
  </cols>
  <sheetData>
    <row r="1">
      <c r="A1" s="3" t="s">
        <v>17</v>
      </c>
      <c r="B1" s="3" t="s">
        <v>18</v>
      </c>
      <c r="C1" s="3" t="s">
        <v>9</v>
      </c>
      <c r="D1" s="3" t="s">
        <v>20</v>
      </c>
      <c r="E1" s="3" t="s">
        <v>21</v>
      </c>
    </row>
    <row r="2">
      <c r="A2" s="5" t="s">
        <v>22</v>
      </c>
      <c r="B2" s="5">
        <f>COUNTIF('Вопросы'!$B$2:$B$98,"БТ (Google Doc)*")</f>
        <v>60</v>
      </c>
      <c r="C2" s="5">
        <f>COUNTIFS('Вопросы'!$B$2:$B$98,"БТ (Google Doc)*",'Вопросы'!$J$2:$J$98,"Да")</f>
        <v>28</v>
      </c>
      <c r="D2" s="5">
        <f>COUNTIFS('Вопросы'!$B$2:$B$98,"БТ (Google Doc)*",'Вопросы'!$J$2:$J$98,"Частично")</f>
        <v>7</v>
      </c>
      <c r="E2" s="5">
        <f>COUNTIFS('Вопросы'!$B$2:$B$98,"БТ (Google Doc)*",'Вопросы'!$J$2:$J$98,"Нет")</f>
        <v>25</v>
      </c>
    </row>
    <row r="3">
      <c r="A3" s="5" t="s">
        <v>112</v>
      </c>
      <c r="B3" s="5">
        <f>COUNTIF('Вопросы'!$B$2:$B$98,"Док. «Вопросы Екатерины Лемешевой»*")</f>
        <v>37</v>
      </c>
      <c r="C3" s="5">
        <f>COUNTIFS('Вопросы'!$B$2:$B$98,"Док. «Вопросы Екатерины Лемешевой»*",'Вопросы'!$J$2:$J$98,"Да")</f>
        <v>28</v>
      </c>
      <c r="D3" s="5">
        <f>COUNTIFS('Вопросы'!$B$2:$B$98,"Док. «Вопросы Екатерины Лемешевой»*",'Вопросы'!$J$2:$J$98,"Частично")</f>
        <v>6</v>
      </c>
      <c r="E3" s="5">
        <f>COUNTIFS('Вопросы'!$B$2:$B$98,"Док. «Вопросы Екатерины Лемешевой»*",'Вопросы'!$J$2:$J$98,"Нет")</f>
        <v>3</v>
      </c>
    </row>
    <row r="4">
      <c r="A4" s="14" t="s">
        <v>157</v>
      </c>
      <c r="B4" s="14">
        <f t="shared" ref="B4:E4" si="1">SUM(B2:B3)</f>
        <v>97</v>
      </c>
      <c r="C4" s="14">
        <f t="shared" si="1"/>
        <v>56</v>
      </c>
      <c r="D4" s="14">
        <f t="shared" si="1"/>
        <v>13</v>
      </c>
      <c r="E4" s="14">
        <f t="shared" si="1"/>
        <v>28</v>
      </c>
    </row>
    <row r="6">
      <c r="A6" s="3" t="s">
        <v>5</v>
      </c>
      <c r="B6" s="3" t="s">
        <v>18</v>
      </c>
      <c r="C6" s="3" t="s">
        <v>9</v>
      </c>
      <c r="D6" s="3" t="s">
        <v>20</v>
      </c>
      <c r="E6" s="3" t="s">
        <v>21</v>
      </c>
    </row>
    <row r="7">
      <c r="A7" s="5" t="s">
        <v>24</v>
      </c>
      <c r="B7" s="5">
        <f>COUNTIF('Вопросы'!$F$2:$F$98,"Мария Мезинова")</f>
        <v>15</v>
      </c>
      <c r="C7" s="5">
        <f>COUNTIFS('Вопросы'!$F$2:$F$98,"Мария Мезинова",'Вопросы'!$J$2:$J$98,"Да")</f>
        <v>7</v>
      </c>
      <c r="D7" s="5">
        <f>COUNTIFS('Вопросы'!$F$2:$F$98,"Мария Мезинова",'Вопросы'!$J$2:$J$98,"Частично")</f>
        <v>2</v>
      </c>
      <c r="E7" s="5">
        <f>COUNTIFS('Вопросы'!$F$2:$F$98,"Мария Мезинова",'Вопросы'!$J$2:$J$98,"Нет")</f>
        <v>6</v>
      </c>
    </row>
    <row r="8">
      <c r="A8" s="5" t="s">
        <v>191</v>
      </c>
      <c r="B8" s="5">
        <f>COUNTIF('Вопросы'!$F$2:$F$98,"Елена Васильева")</f>
        <v>12</v>
      </c>
      <c r="C8" s="5">
        <f>COUNTIFS('Вопросы'!$F$2:$F$98,"Елена Васильева",'Вопросы'!$J$2:$J$98,"Да")</f>
        <v>5</v>
      </c>
      <c r="D8" s="5">
        <f>COUNTIFS('Вопросы'!$F$2:$F$98,"Елена Васильева",'Вопросы'!$J$2:$J$98,"Частично")</f>
        <v>2</v>
      </c>
      <c r="E8" s="5">
        <f>COUNTIFS('Вопросы'!$F$2:$F$98,"Елена Васильева",'Вопросы'!$J$2:$J$98,"Нет")</f>
        <v>5</v>
      </c>
    </row>
    <row r="9">
      <c r="A9" s="5" t="s">
        <v>206</v>
      </c>
      <c r="B9" s="5">
        <f>COUNTIF('Вопросы'!$F$2:$F$98,"Артём Колосов")</f>
        <v>16</v>
      </c>
      <c r="C9" s="5">
        <f>COUNTIFS('Вопросы'!$F$2:$F$98,"Артём Колосов",'Вопросы'!$J$2:$J$98,"Да")</f>
        <v>8</v>
      </c>
      <c r="D9" s="5">
        <f>COUNTIFS('Вопросы'!$F$2:$F$98,"Артём Колосов",'Вопросы'!$J$2:$J$98,"Частично")</f>
        <v>2</v>
      </c>
      <c r="E9" s="5">
        <f>COUNTIFS('Вопросы'!$F$2:$F$98,"Артём Колосов",'Вопросы'!$J$2:$J$98,"Нет")</f>
        <v>6</v>
      </c>
    </row>
    <row r="10">
      <c r="A10" s="5" t="s">
        <v>211</v>
      </c>
      <c r="B10" s="5">
        <f>COUNTIF('Вопросы'!$F$2:$F$98,"Екатерина Лемешева")</f>
        <v>48</v>
      </c>
      <c r="C10" s="5">
        <f>COUNTIFS('Вопросы'!$F$2:$F$98,"Екатерина Лемешева",'Вопросы'!$J$2:$J$98,"Да")</f>
        <v>35</v>
      </c>
      <c r="D10" s="5">
        <f>COUNTIFS('Вопросы'!$F$2:$F$98,"Екатерина Лемешева",'Вопросы'!$J$2:$J$98,"Частично")</f>
        <v>7</v>
      </c>
      <c r="E10" s="5">
        <f>COUNTIFS('Вопросы'!$F$2:$F$98,"Екатерина Лемешева",'Вопросы'!$J$2:$J$98,"Нет")</f>
        <v>6</v>
      </c>
    </row>
    <row r="11">
      <c r="A11" s="5" t="s">
        <v>115</v>
      </c>
      <c r="B11" s="5">
        <f>COUNTIF('Вопросы'!$F$2:$F$98,"Светлана Варцаба")</f>
        <v>6</v>
      </c>
      <c r="C11" s="5">
        <f>COUNTIFS('Вопросы'!$F$2:$F$98,"Светлана Варцаба",'Вопросы'!$J$2:$J$98,"Да")</f>
        <v>1</v>
      </c>
      <c r="D11" s="5">
        <f>COUNTIFS('Вопросы'!$F$2:$F$98,"Светлана Варцаба",'Вопросы'!$J$2:$J$98,"Частично")</f>
        <v>0</v>
      </c>
      <c r="E11" s="5">
        <f>COUNTIFS('Вопросы'!$F$2:$F$98,"Светлана Варцаба",'Вопросы'!$J$2:$J$98,"Нет")</f>
        <v>5</v>
      </c>
    </row>
    <row r="13">
      <c r="A13" s="3" t="s">
        <v>260</v>
      </c>
      <c r="B13" s="3" t="s">
        <v>18</v>
      </c>
      <c r="C13" s="3" t="s">
        <v>9</v>
      </c>
      <c r="D13" s="3" t="s">
        <v>20</v>
      </c>
      <c r="E13" s="3" t="s">
        <v>21</v>
      </c>
    </row>
    <row r="14">
      <c r="A14" s="5" t="s">
        <v>263</v>
      </c>
      <c r="B14" s="5">
        <f>COUNTIF('Вопросы'!$H$2:$H$98,"*Бизнес-заказчик / владелец процесса возвратов*")</f>
        <v>28</v>
      </c>
      <c r="C14" s="5">
        <f>COUNTIFS('Вопросы'!$H$2:$H$98,"*Бизнес-заказчик / владелец процесса возвратов*",'Вопросы'!$J$2:$J$98,"Да")</f>
        <v>17</v>
      </c>
      <c r="D14" s="5">
        <f>COUNTIFS('Вопросы'!$H$2:$H$98,"*Бизнес-заказчик / владелец процесса возвратов*",'Вопросы'!$J$2:$J$98,"Частично")</f>
        <v>3</v>
      </c>
      <c r="E14" s="5">
        <f>COUNTIFS('Вопросы'!$H$2:$H$98,"*Бизнес-заказчик / владелец процесса возвратов*",'Вопросы'!$J$2:$J$98,"Нет")</f>
        <v>8</v>
      </c>
    </row>
    <row r="15">
      <c r="A15" s="5" t="s">
        <v>270</v>
      </c>
      <c r="B15" s="5">
        <f>COUNTIF('Вопросы'!$H$2:$H$98,"*IT-архитектура (интеграции)*")</f>
        <v>20</v>
      </c>
      <c r="C15" s="5">
        <f>COUNTIFS('Вопросы'!$H$2:$H$98,"*IT-архитектура (интеграции)*",'Вопросы'!$J$2:$J$98,"Да")</f>
        <v>15</v>
      </c>
      <c r="D15" s="5">
        <f>COUNTIFS('Вопросы'!$H$2:$H$98,"*IT-архитектура (интеграции)*",'Вопросы'!$J$2:$J$98,"Частично")</f>
        <v>3</v>
      </c>
      <c r="E15" s="5">
        <f>COUNTIFS('Вопросы'!$H$2:$H$98,"*IT-архитектура (интеграции)*",'Вопросы'!$J$2:$J$98,"Нет")</f>
        <v>2</v>
      </c>
    </row>
    <row r="16">
      <c r="A16" s="5" t="s">
        <v>278</v>
      </c>
      <c r="B16" s="5">
        <f>COUNTIF('Вопросы'!$H$2:$H$98,"*Логистика (ТК, ПВЗ, Почта России)*")</f>
        <v>21</v>
      </c>
      <c r="C16" s="5">
        <f>COUNTIFS('Вопросы'!$H$2:$H$98,"*Логистика (ТК, ПВЗ, Почта России)*",'Вопросы'!$J$2:$J$98,"Да")</f>
        <v>12</v>
      </c>
      <c r="D16" s="5">
        <f>COUNTIFS('Вопросы'!$H$2:$H$98,"*Логистика (ТК, ПВЗ, Почта России)*",'Вопросы'!$J$2:$J$98,"Частично")</f>
        <v>3</v>
      </c>
      <c r="E16" s="5">
        <f>COUNTIFS('Вопросы'!$H$2:$H$98,"*Логистика (ТК, ПВЗ, Почта России)*",'Вопросы'!$J$2:$J$98,"Нет")</f>
        <v>6</v>
      </c>
    </row>
    <row r="17">
      <c r="A17" s="5" t="s">
        <v>290</v>
      </c>
      <c r="B17" s="5">
        <f>COUNTIF('Вопросы'!$H$2:$H$98,"*Продукт МП / сайт (UX, макеты)*")</f>
        <v>17</v>
      </c>
      <c r="C17" s="5">
        <f>COUNTIFS('Вопросы'!$H$2:$H$98,"*Продукт МП / сайт (UX, макеты)*",'Вопросы'!$J$2:$J$98,"Да")</f>
        <v>8</v>
      </c>
      <c r="D17" s="5">
        <f>COUNTIFS('Вопросы'!$H$2:$H$98,"*Продукт МП / сайт (UX, макеты)*",'Вопросы'!$J$2:$J$98,"Частично")</f>
        <v>3</v>
      </c>
      <c r="E17" s="5">
        <f>COUNTIFS('Вопросы'!$H$2:$H$98,"*Продукт МП / сайт (UX, макеты)*",'Вопросы'!$J$2:$J$98,"Нет")</f>
        <v>6</v>
      </c>
    </row>
    <row r="18">
      <c r="A18" s="5" t="s">
        <v>299</v>
      </c>
      <c r="B18" s="5">
        <f>COUNTIF('Вопросы'!$H$2:$H$98,"*Финансы / бухгалтерия*")</f>
        <v>16</v>
      </c>
      <c r="C18" s="5">
        <f>COUNTIFS('Вопросы'!$H$2:$H$98,"*Финансы / бухгалтерия*",'Вопросы'!$J$2:$J$98,"Да")</f>
        <v>8</v>
      </c>
      <c r="D18" s="5">
        <f>COUNTIFS('Вопросы'!$H$2:$H$98,"*Финансы / бухгалтерия*",'Вопросы'!$J$2:$J$98,"Частично")</f>
        <v>3</v>
      </c>
      <c r="E18" s="5">
        <f>COUNTIFS('Вопросы'!$H$2:$H$98,"*Финансы / бухгалтерия*",'Вопросы'!$J$2:$J$98,"Нет")</f>
        <v>5</v>
      </c>
    </row>
    <row r="19">
      <c r="A19" s="5" t="s">
        <v>307</v>
      </c>
      <c r="B19" s="5">
        <f>COUNTIF('Вопросы'!$H$2:$H$98,"*Юристы*")</f>
        <v>15</v>
      </c>
      <c r="C19" s="5">
        <f>COUNTIFS('Вопросы'!$H$2:$H$98,"*Юристы*",'Вопросы'!$J$2:$J$98,"Да")</f>
        <v>13</v>
      </c>
      <c r="D19" s="5">
        <f>COUNTIFS('Вопросы'!$H$2:$H$98,"*Юристы*",'Вопросы'!$J$2:$J$98,"Частично")</f>
        <v>2</v>
      </c>
      <c r="E19" s="5">
        <f>COUNTIFS('Вопросы'!$H$2:$H$98,"*Юристы*",'Вопросы'!$J$2:$J$98,"Нет")</f>
        <v>0</v>
      </c>
    </row>
    <row r="20">
      <c r="A20" s="5" t="s">
        <v>316</v>
      </c>
      <c r="B20" s="5">
        <f>COUNTIF('Вопросы'!$H$2:$H$98,"*Склад (Бетта Про, WMS)*")</f>
        <v>14</v>
      </c>
      <c r="C20" s="5">
        <f>COUNTIFS('Вопросы'!$H$2:$H$98,"*Склад (Бетта Про, WMS)*",'Вопросы'!$J$2:$J$98,"Да")</f>
        <v>9</v>
      </c>
      <c r="D20" s="5">
        <f>COUNTIFS('Вопросы'!$H$2:$H$98,"*Склад (Бетта Про, WMS)*",'Вопросы'!$J$2:$J$98,"Частично")</f>
        <v>1</v>
      </c>
      <c r="E20" s="5">
        <f>COUNTIFS('Вопросы'!$H$2:$H$98,"*Склад (Бетта Про, WMS)*",'Вопросы'!$J$2:$J$98,"Нет")</f>
        <v>4</v>
      </c>
    </row>
    <row r="21" ht="15.75" customHeight="1">
      <c r="A21" s="5" t="s">
        <v>25</v>
      </c>
      <c r="B21" s="5">
        <f>COUNTIF('Вопросы'!$H$2:$H$98,"*1С / товародвижение*")</f>
        <v>8</v>
      </c>
      <c r="C21" s="5">
        <f>COUNTIFS('Вопросы'!$H$2:$H$98,"*1С / товародвижение*",'Вопросы'!$J$2:$J$98,"Да")</f>
        <v>4</v>
      </c>
      <c r="D21" s="5">
        <f>COUNTIFS('Вопросы'!$H$2:$H$98,"*1С / товародвижение*",'Вопросы'!$J$2:$J$98,"Частично")</f>
        <v>1</v>
      </c>
      <c r="E21" s="5">
        <f>COUNTIFS('Вопросы'!$H$2:$H$98,"*1С / товародвижение*",'Вопросы'!$J$2:$J$98,"Нет")</f>
        <v>3</v>
      </c>
    </row>
    <row r="22" ht="15.75" customHeight="1">
      <c r="A22" s="5" t="s">
        <v>331</v>
      </c>
      <c r="B22" s="5">
        <f>COUNTIF('Вопросы'!$H$2:$H$98,"*Розница (операции магазинов)*")</f>
        <v>7</v>
      </c>
      <c r="C22" s="5">
        <f>COUNTIFS('Вопросы'!$H$2:$H$98,"*Розница (операции магазинов)*",'Вопросы'!$J$2:$J$98,"Да")</f>
        <v>5</v>
      </c>
      <c r="D22" s="5">
        <f>COUNTIFS('Вопросы'!$H$2:$H$98,"*Розница (операции магазинов)*",'Вопросы'!$J$2:$J$98,"Частично")</f>
        <v>0</v>
      </c>
      <c r="E22" s="5">
        <f>COUNTIFS('Вопросы'!$H$2:$H$98,"*Розница (операции магазинов)*",'Вопросы'!$J$2:$J$98,"Нет")</f>
        <v>2</v>
      </c>
    </row>
    <row r="23" ht="15.75" customHeight="1">
      <c r="A23" s="5" t="s">
        <v>338</v>
      </c>
      <c r="B23" s="5">
        <f>COUNTIF('Вопросы'!$H$2:$H$98,"*Клиентский сервис (Дружба, Retail CRM)*")</f>
        <v>7</v>
      </c>
      <c r="C23" s="5">
        <f>COUNTIFS('Вопросы'!$H$2:$H$98,"*Клиентский сервис (Дружба, Retail CRM)*",'Вопросы'!$J$2:$J$98,"Да")</f>
        <v>4</v>
      </c>
      <c r="D23" s="5">
        <f>COUNTIFS('Вопросы'!$H$2:$H$98,"*Клиентский сервис (Дружба, Retail CRM)*",'Вопросы'!$J$2:$J$98,"Частично")</f>
        <v>1</v>
      </c>
      <c r="E23" s="5">
        <f>COUNTIFS('Вопросы'!$H$2:$H$98,"*Клиентский сервис (Дружба, Retail CRM)*",'Вопросы'!$J$2:$J$98,"Нет")</f>
        <v>2</v>
      </c>
    </row>
    <row r="24" ht="15.75" customHeight="1">
      <c r="A24" s="5" t="s">
        <v>345</v>
      </c>
      <c r="B24" s="5">
        <f>COUNTIF('Вопросы'!$H$2:$H$98,"*Маркетинг / лояльность (бонусы, сертификаты, FnF)*")</f>
        <v>5</v>
      </c>
      <c r="C24" s="5">
        <f>COUNTIFS('Вопросы'!$H$2:$H$98,"*Маркетинг / лояльность (бонусы, сертификаты, FnF)*",'Вопросы'!$J$2:$J$98,"Да")</f>
        <v>1</v>
      </c>
      <c r="D24" s="5">
        <f>COUNTIFS('Вопросы'!$H$2:$H$98,"*Маркетинг / лояльность (бонусы, сертификаты, FnF)*",'Вопросы'!$J$2:$J$98,"Частично")</f>
        <v>0</v>
      </c>
      <c r="E24" s="5">
        <f>COUNTIFS('Вопросы'!$H$2:$H$98,"*Маркетинг / лояльность (бонусы, сертификаты, FnF)*",'Вопросы'!$J$2:$J$98,"Нет")</f>
        <v>4</v>
      </c>
    </row>
    <row r="25" ht="15.75" customHeight="1">
      <c r="A25" s="5" t="s">
        <v>356</v>
      </c>
      <c r="B25" s="5">
        <f>COUNTIF('Вопросы'!$H$2:$H$98,"*Разработка сайта / бэкенд*")</f>
        <v>3</v>
      </c>
      <c r="C25" s="5">
        <f>COUNTIFS('Вопросы'!$H$2:$H$98,"*Разработка сайта / бэкенд*",'Вопросы'!$J$2:$J$98,"Да")</f>
        <v>0</v>
      </c>
      <c r="D25" s="5">
        <f>COUNTIFS('Вопросы'!$H$2:$H$98,"*Разработка сайта / бэкенд*",'Вопросы'!$J$2:$J$98,"Частично")</f>
        <v>1</v>
      </c>
      <c r="E25" s="5">
        <f>COUNTIFS('Вопросы'!$H$2:$H$98,"*Разработка сайта / бэкенд*",'Вопросы'!$J$2:$J$98,"Нет")</f>
        <v>2</v>
      </c>
    </row>
    <row r="26" ht="15.75" customHeight="1">
      <c r="A26" s="5" t="s">
        <v>364</v>
      </c>
      <c r="B26" s="5">
        <f>COUNTIF('Вопросы'!$H$2:$H$98,"*Автор БТ (редакторская правка)*")</f>
        <v>0</v>
      </c>
      <c r="C26" s="5">
        <f>COUNTIFS('Вопросы'!$H$2:$H$98,"*Автор БТ (редакторская правка)*",'Вопросы'!$J$2:$J$98,"Да")</f>
        <v>0</v>
      </c>
      <c r="D26" s="5">
        <f>COUNTIFS('Вопросы'!$H$2:$H$98,"*Автор БТ (редакторская правка)*",'Вопросы'!$J$2:$J$98,"Частично")</f>
        <v>0</v>
      </c>
      <c r="E26" s="5">
        <f>COUNTIFS('Вопросы'!$H$2:$H$98,"*Автор БТ (редакторская правка)*",'Вопросы'!$J$2:$J$98,"Нет")</f>
        <v>0</v>
      </c>
    </row>
    <row r="27" ht="15.75" customHeight="1"/>
    <row r="28" ht="15.0" customHeight="1">
      <c r="A28" s="22" t="s">
        <v>368</v>
      </c>
    </row>
    <row r="29" ht="31.5" customHeight="1">
      <c r="A29" s="23" t="s">
        <v>370</v>
      </c>
    </row>
    <row r="30" ht="31.5" customHeight="1">
      <c r="A30" s="23" t="s">
        <v>374</v>
      </c>
    </row>
    <row r="31" ht="31.5" customHeight="1">
      <c r="A31" s="23" t="s">
        <v>375</v>
      </c>
    </row>
    <row r="32" ht="31.5" customHeight="1">
      <c r="A32" s="23" t="s">
        <v>376</v>
      </c>
    </row>
    <row r="33" ht="31.5" customHeight="1">
      <c r="A33" s="23" t="s">
        <v>377</v>
      </c>
    </row>
    <row r="34" ht="31.5" customHeight="1">
      <c r="A34" s="23" t="s">
        <v>378</v>
      </c>
    </row>
    <row r="35" ht="31.5" customHeight="1">
      <c r="A35" s="23" t="s">
        <v>379</v>
      </c>
    </row>
    <row r="36" ht="31.5" customHeight="1">
      <c r="A36" s="23" t="s">
        <v>380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5:E35"/>
    <mergeCell ref="A36:E36"/>
    <mergeCell ref="A28:E28"/>
    <mergeCell ref="A29:E29"/>
    <mergeCell ref="A30:E30"/>
    <mergeCell ref="A31:E31"/>
    <mergeCell ref="A32:E32"/>
    <mergeCell ref="A33:E33"/>
    <mergeCell ref="A34:E34"/>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5.86"/>
    <col customWidth="1" min="2" max="2" width="28.86"/>
    <col customWidth="1" min="3" max="3" width="72.43"/>
    <col customWidth="1" min="4" max="4" width="68.71"/>
    <col customWidth="1" min="5" max="5" width="40.14"/>
  </cols>
  <sheetData>
    <row r="1">
      <c r="A1" s="6"/>
      <c r="C1" s="6" t="s">
        <v>31</v>
      </c>
      <c r="D1" s="10"/>
    </row>
    <row r="2">
      <c r="A2" s="6" t="s">
        <v>48</v>
      </c>
      <c r="C2" s="6" t="s">
        <v>52</v>
      </c>
      <c r="D2" s="10"/>
      <c r="E2" s="6" t="s">
        <v>59</v>
      </c>
      <c r="F2" s="8"/>
    </row>
    <row r="3">
      <c r="A3" s="6" t="s">
        <v>65</v>
      </c>
      <c r="C3" s="6" t="s">
        <v>67</v>
      </c>
      <c r="D3" s="10"/>
    </row>
    <row r="4">
      <c r="A4" s="6" t="s">
        <v>70</v>
      </c>
      <c r="C4" s="6" t="s">
        <v>73</v>
      </c>
      <c r="D4" s="10"/>
    </row>
    <row r="5">
      <c r="A5" s="6" t="s">
        <v>75</v>
      </c>
      <c r="C5" s="6" t="s">
        <v>78</v>
      </c>
      <c r="D5" s="10"/>
    </row>
    <row r="6">
      <c r="A6" s="10"/>
      <c r="C6" s="10"/>
      <c r="D6" s="10"/>
    </row>
    <row r="7">
      <c r="A7" s="6" t="s">
        <v>81</v>
      </c>
      <c r="C7" s="6" t="s">
        <v>84</v>
      </c>
      <c r="D7" s="10"/>
    </row>
    <row r="8">
      <c r="A8" s="6" t="s">
        <v>87</v>
      </c>
      <c r="C8" s="6" t="s">
        <v>88</v>
      </c>
      <c r="D8" s="10"/>
    </row>
    <row r="9">
      <c r="A9" s="6" t="s">
        <v>91</v>
      </c>
      <c r="B9" s="8" t="s">
        <v>94</v>
      </c>
      <c r="C9" s="6" t="s">
        <v>95</v>
      </c>
      <c r="D9" s="10"/>
    </row>
    <row r="10">
      <c r="A10" s="6" t="s">
        <v>97</v>
      </c>
      <c r="C10" s="6" t="s">
        <v>99</v>
      </c>
      <c r="D10" s="10"/>
    </row>
    <row r="11" ht="163.5" customHeight="1">
      <c r="A11" s="11" t="s">
        <v>102</v>
      </c>
      <c r="C11" s="11" t="s">
        <v>111</v>
      </c>
      <c r="D11" s="11" t="s">
        <v>116</v>
      </c>
    </row>
    <row r="12">
      <c r="A12" s="10"/>
      <c r="C12" s="10"/>
      <c r="D12" s="10"/>
    </row>
    <row r="13">
      <c r="A13" s="6" t="s">
        <v>122</v>
      </c>
      <c r="C13" s="6" t="s">
        <v>124</v>
      </c>
      <c r="D13" s="10"/>
    </row>
    <row r="14">
      <c r="A14" s="6" t="s">
        <v>128</v>
      </c>
      <c r="C14" s="6" t="s">
        <v>129</v>
      </c>
      <c r="D14" s="6" t="s">
        <v>131</v>
      </c>
    </row>
    <row r="15">
      <c r="A15" s="6"/>
      <c r="C15" s="15" t="s">
        <v>137</v>
      </c>
      <c r="D15" s="17" t="s">
        <v>174</v>
      </c>
    </row>
    <row r="16">
      <c r="A16" s="6" t="s">
        <v>181</v>
      </c>
      <c r="C16" s="6" t="s">
        <v>182</v>
      </c>
    </row>
    <row r="17">
      <c r="A17" s="10"/>
      <c r="C17" s="10"/>
      <c r="D17" s="10"/>
    </row>
    <row r="18">
      <c r="A18" s="10"/>
      <c r="C18" s="10"/>
      <c r="D18" s="10"/>
    </row>
    <row r="19">
      <c r="A19" s="6" t="s">
        <v>186</v>
      </c>
      <c r="C19" s="10"/>
      <c r="D19" s="10"/>
    </row>
    <row r="20">
      <c r="A20" s="6" t="s">
        <v>188</v>
      </c>
      <c r="C20" s="6" t="s">
        <v>190</v>
      </c>
      <c r="D20" s="6" t="s">
        <v>192</v>
      </c>
    </row>
    <row r="21">
      <c r="A21" s="6" t="s">
        <v>193</v>
      </c>
      <c r="C21" s="10"/>
      <c r="D21" s="6"/>
    </row>
    <row r="22">
      <c r="A22" s="6" t="s">
        <v>194</v>
      </c>
      <c r="C22" s="10"/>
      <c r="D22" s="10"/>
    </row>
    <row r="23">
      <c r="A23" s="6" t="s">
        <v>195</v>
      </c>
      <c r="C23" s="6" t="s">
        <v>196</v>
      </c>
      <c r="D23" s="10"/>
    </row>
    <row r="24">
      <c r="A24" s="10"/>
      <c r="C24" s="10"/>
      <c r="D24" s="10"/>
    </row>
    <row r="25">
      <c r="A25" s="6" t="s">
        <v>197</v>
      </c>
      <c r="C25" s="6" t="s">
        <v>198</v>
      </c>
      <c r="D25" s="10"/>
    </row>
    <row r="26">
      <c r="A26" s="6" t="s">
        <v>199</v>
      </c>
      <c r="C26" s="6" t="s">
        <v>200</v>
      </c>
      <c r="D26" s="10"/>
    </row>
    <row r="27">
      <c r="A27" s="6" t="s">
        <v>201</v>
      </c>
      <c r="C27" s="6" t="s">
        <v>204</v>
      </c>
      <c r="D27" s="18" t="s">
        <v>208</v>
      </c>
    </row>
    <row r="28">
      <c r="A28" s="10"/>
      <c r="C28" s="10"/>
      <c r="D28" s="10"/>
    </row>
    <row r="29">
      <c r="A29" s="19" t="s">
        <v>213</v>
      </c>
      <c r="C29" s="10"/>
      <c r="D29" s="10"/>
    </row>
    <row r="30">
      <c r="A30" s="6" t="s">
        <v>214</v>
      </c>
      <c r="C30" s="6" t="s">
        <v>215</v>
      </c>
      <c r="D30" s="10"/>
    </row>
    <row r="31">
      <c r="A31" s="6" t="s">
        <v>216</v>
      </c>
      <c r="C31" s="6" t="s">
        <v>217</v>
      </c>
      <c r="D31" s="10"/>
    </row>
    <row r="32">
      <c r="A32" s="6" t="s">
        <v>218</v>
      </c>
      <c r="C32" s="6" t="s">
        <v>219</v>
      </c>
      <c r="D32" s="10"/>
    </row>
    <row r="33">
      <c r="A33" s="6" t="s">
        <v>220</v>
      </c>
      <c r="B33" s="6" t="s">
        <v>221</v>
      </c>
      <c r="C33" s="10"/>
      <c r="D33" s="10"/>
    </row>
    <row r="34" ht="50.25" customHeight="1">
      <c r="A34" s="6" t="s">
        <v>222</v>
      </c>
      <c r="C34" s="6" t="s">
        <v>224</v>
      </c>
      <c r="D34" s="10"/>
    </row>
    <row r="35">
      <c r="A35" s="6" t="s">
        <v>226</v>
      </c>
      <c r="B35" s="6" t="s">
        <v>227</v>
      </c>
      <c r="C35" s="10"/>
      <c r="D35" s="10"/>
    </row>
    <row r="36">
      <c r="A36" s="6" t="s">
        <v>229</v>
      </c>
      <c r="B36" s="6" t="s">
        <v>230</v>
      </c>
      <c r="C36" s="10"/>
      <c r="D36" s="10"/>
    </row>
    <row r="37">
      <c r="A37" s="10"/>
      <c r="C37" s="10"/>
      <c r="D37" s="10"/>
    </row>
    <row r="38">
      <c r="A38" s="19" t="s">
        <v>231</v>
      </c>
      <c r="C38" s="10"/>
      <c r="D38" s="10"/>
    </row>
    <row r="39">
      <c r="A39" s="6" t="s">
        <v>232</v>
      </c>
      <c r="C39" s="6" t="s">
        <v>233</v>
      </c>
      <c r="D39" s="10"/>
    </row>
    <row r="40">
      <c r="A40" s="6" t="s">
        <v>234</v>
      </c>
      <c r="C40" s="6" t="s">
        <v>235</v>
      </c>
      <c r="D40" s="10"/>
    </row>
    <row r="41">
      <c r="A41" s="10"/>
      <c r="C41" s="10"/>
      <c r="D41" s="10"/>
    </row>
    <row r="42">
      <c r="A42" s="10"/>
      <c r="C42" s="10"/>
      <c r="D42" s="10"/>
    </row>
    <row r="43">
      <c r="A43" s="19" t="s">
        <v>236</v>
      </c>
      <c r="C43" s="10"/>
      <c r="D43" s="10"/>
    </row>
    <row r="44">
      <c r="A44" s="6" t="s">
        <v>237</v>
      </c>
      <c r="C44" s="6" t="s">
        <v>238</v>
      </c>
      <c r="D44" s="10"/>
    </row>
    <row r="45">
      <c r="A45" s="6" t="s">
        <v>239</v>
      </c>
      <c r="C45" s="10"/>
      <c r="D45" s="10"/>
    </row>
    <row r="46">
      <c r="A46" s="10"/>
      <c r="C46" s="10"/>
      <c r="D46" s="10"/>
    </row>
    <row r="47">
      <c r="A47" s="19" t="s">
        <v>240</v>
      </c>
      <c r="C47" s="10"/>
      <c r="D47" s="10"/>
    </row>
    <row r="48">
      <c r="A48" s="6" t="s">
        <v>242</v>
      </c>
      <c r="C48" s="6" t="s">
        <v>243</v>
      </c>
      <c r="D48" s="10"/>
    </row>
    <row r="49">
      <c r="A49" s="10"/>
      <c r="C49" s="10"/>
      <c r="D49" s="10"/>
    </row>
    <row r="50">
      <c r="A50" s="10"/>
      <c r="C50" s="10"/>
      <c r="D50" s="10"/>
    </row>
    <row r="51">
      <c r="A51" s="19" t="s">
        <v>244</v>
      </c>
      <c r="C51" s="10"/>
      <c r="D51" s="10"/>
    </row>
    <row r="52" ht="13.5" customHeight="1">
      <c r="A52" s="10"/>
      <c r="C52" s="10"/>
      <c r="D52" s="10"/>
    </row>
    <row r="53">
      <c r="A53" s="6" t="s">
        <v>245</v>
      </c>
      <c r="C53" s="6" t="s">
        <v>246</v>
      </c>
      <c r="D53" s="6" t="s">
        <v>247</v>
      </c>
    </row>
    <row r="54">
      <c r="A54" s="6" t="s">
        <v>248</v>
      </c>
      <c r="C54" s="6" t="s">
        <v>249</v>
      </c>
      <c r="D54" s="10"/>
    </row>
    <row r="55">
      <c r="A55" s="6" t="s">
        <v>250</v>
      </c>
      <c r="C55" s="10"/>
      <c r="D55" s="10"/>
    </row>
    <row r="56">
      <c r="A56" s="6" t="s">
        <v>251</v>
      </c>
      <c r="C56" s="6"/>
      <c r="D56" s="10"/>
    </row>
    <row r="57">
      <c r="A57" s="6" t="s">
        <v>252</v>
      </c>
      <c r="C57" s="6" t="s">
        <v>253</v>
      </c>
      <c r="D57" s="10"/>
    </row>
    <row r="58">
      <c r="A58" s="6" t="s">
        <v>255</v>
      </c>
      <c r="C58" s="6" t="s">
        <v>257</v>
      </c>
      <c r="D58" s="10"/>
    </row>
    <row r="59">
      <c r="A59" s="6" t="s">
        <v>259</v>
      </c>
      <c r="B59" s="8" t="s">
        <v>94</v>
      </c>
      <c r="C59" s="10"/>
      <c r="D59" s="10"/>
    </row>
    <row r="60">
      <c r="A60" s="6" t="s">
        <v>262</v>
      </c>
      <c r="B60" s="8" t="s">
        <v>94</v>
      </c>
      <c r="C60" s="10"/>
      <c r="D60" s="10"/>
    </row>
    <row r="61">
      <c r="A61" s="10"/>
      <c r="C61" s="10"/>
      <c r="D61" s="10"/>
    </row>
    <row r="62">
      <c r="A62" s="10"/>
      <c r="C62" s="10"/>
      <c r="D62" s="10"/>
    </row>
    <row r="63">
      <c r="A63" s="10"/>
      <c r="C63" s="10"/>
      <c r="D63" s="10"/>
    </row>
    <row r="64">
      <c r="A64" s="10"/>
      <c r="C64" s="10"/>
      <c r="D64" s="10"/>
    </row>
    <row r="65">
      <c r="A65" s="10"/>
      <c r="C65" s="10"/>
      <c r="D65" s="10"/>
    </row>
    <row r="66">
      <c r="A66" s="10"/>
      <c r="C66" s="10"/>
      <c r="D66" s="10"/>
    </row>
    <row r="67">
      <c r="A67" s="10"/>
      <c r="C67" s="10"/>
      <c r="D67" s="10"/>
    </row>
    <row r="68">
      <c r="A68" s="10"/>
      <c r="C68" s="10"/>
      <c r="D68" s="10"/>
    </row>
    <row r="69">
      <c r="A69" s="10"/>
      <c r="C69" s="10"/>
      <c r="D69" s="10"/>
    </row>
    <row r="70">
      <c r="A70" s="10"/>
      <c r="C70" s="10"/>
      <c r="D70" s="10"/>
    </row>
    <row r="71">
      <c r="A71" s="10"/>
      <c r="C71" s="10"/>
      <c r="D71" s="10"/>
    </row>
    <row r="72">
      <c r="A72" s="10"/>
      <c r="C72" s="10"/>
      <c r="D72" s="10"/>
    </row>
    <row r="73">
      <c r="A73" s="10"/>
      <c r="C73" s="10"/>
      <c r="D73" s="10"/>
    </row>
    <row r="74">
      <c r="A74" s="10"/>
      <c r="C74" s="10"/>
      <c r="D74" s="10"/>
    </row>
    <row r="75">
      <c r="A75" s="10"/>
      <c r="C75" s="10"/>
      <c r="D75" s="10"/>
    </row>
    <row r="76">
      <c r="A76" s="10"/>
      <c r="C76" s="10"/>
      <c r="D76" s="10"/>
    </row>
    <row r="77">
      <c r="A77" s="10"/>
      <c r="C77" s="10"/>
      <c r="D77" s="10"/>
    </row>
    <row r="78">
      <c r="A78" s="10"/>
      <c r="C78" s="10"/>
      <c r="D78" s="10"/>
    </row>
    <row r="79">
      <c r="A79" s="10"/>
      <c r="C79" s="10"/>
      <c r="D79" s="10"/>
    </row>
    <row r="80">
      <c r="A80" s="10"/>
      <c r="C80" s="10"/>
      <c r="D80" s="10"/>
    </row>
    <row r="81">
      <c r="A81" s="10"/>
      <c r="C81" s="10"/>
      <c r="D81" s="10"/>
    </row>
    <row r="82">
      <c r="A82" s="10"/>
      <c r="C82" s="10"/>
      <c r="D82" s="10"/>
    </row>
    <row r="83">
      <c r="A83" s="10"/>
      <c r="C83" s="10"/>
      <c r="D83" s="10"/>
    </row>
    <row r="84">
      <c r="A84" s="10"/>
      <c r="C84" s="10"/>
      <c r="D84" s="10"/>
    </row>
    <row r="85">
      <c r="A85" s="10"/>
      <c r="C85" s="10"/>
      <c r="D85" s="10"/>
    </row>
    <row r="86">
      <c r="A86" s="10"/>
      <c r="C86" s="10"/>
      <c r="D86" s="10"/>
    </row>
    <row r="87">
      <c r="A87" s="10"/>
      <c r="C87" s="10"/>
      <c r="D87" s="10"/>
    </row>
    <row r="88">
      <c r="A88" s="10"/>
      <c r="C88" s="10"/>
      <c r="D88" s="10"/>
    </row>
    <row r="89">
      <c r="A89" s="10"/>
      <c r="C89" s="10"/>
      <c r="D89" s="10"/>
    </row>
    <row r="90">
      <c r="A90" s="10"/>
      <c r="C90" s="10"/>
      <c r="D90" s="10"/>
    </row>
    <row r="91">
      <c r="A91" s="10"/>
      <c r="C91" s="10"/>
      <c r="D91" s="10"/>
    </row>
    <row r="92">
      <c r="A92" s="10"/>
      <c r="C92" s="10"/>
      <c r="D92" s="10"/>
    </row>
    <row r="93">
      <c r="A93" s="10"/>
      <c r="C93" s="10"/>
      <c r="D93" s="10"/>
    </row>
    <row r="94">
      <c r="A94" s="10"/>
      <c r="C94" s="10"/>
      <c r="D94" s="10"/>
    </row>
    <row r="95">
      <c r="A95" s="10"/>
      <c r="C95" s="10"/>
      <c r="D95" s="10"/>
    </row>
    <row r="96">
      <c r="A96" s="10"/>
      <c r="C96" s="10"/>
      <c r="D96" s="10"/>
    </row>
    <row r="97">
      <c r="A97" s="10"/>
      <c r="C97" s="10"/>
      <c r="D97" s="10"/>
    </row>
    <row r="98">
      <c r="A98" s="10"/>
      <c r="C98" s="10"/>
      <c r="D98" s="10"/>
    </row>
    <row r="99">
      <c r="A99" s="10"/>
      <c r="C99" s="10"/>
      <c r="D99" s="10"/>
    </row>
    <row r="100">
      <c r="A100" s="10"/>
      <c r="C100" s="10"/>
      <c r="D100" s="10"/>
    </row>
    <row r="101">
      <c r="A101" s="10"/>
      <c r="C101" s="10"/>
      <c r="D101" s="10"/>
    </row>
    <row r="102">
      <c r="A102" s="10"/>
      <c r="C102" s="10"/>
      <c r="D102" s="10"/>
    </row>
    <row r="103">
      <c r="A103" s="10"/>
      <c r="C103" s="10"/>
      <c r="D103" s="10"/>
    </row>
    <row r="104">
      <c r="A104" s="10"/>
      <c r="C104" s="10"/>
      <c r="D104" s="10"/>
    </row>
    <row r="105">
      <c r="A105" s="10"/>
      <c r="C105" s="10"/>
      <c r="D105" s="10"/>
    </row>
    <row r="106">
      <c r="A106" s="10"/>
      <c r="C106" s="10"/>
      <c r="D106" s="10"/>
    </row>
    <row r="107">
      <c r="A107" s="10"/>
      <c r="C107" s="10"/>
      <c r="D107" s="10"/>
    </row>
    <row r="108">
      <c r="A108" s="10"/>
      <c r="C108" s="10"/>
      <c r="D108" s="10"/>
    </row>
    <row r="109">
      <c r="A109" s="10"/>
      <c r="C109" s="10"/>
      <c r="D109" s="10"/>
    </row>
    <row r="110">
      <c r="A110" s="10"/>
      <c r="C110" s="10"/>
      <c r="D110" s="10"/>
    </row>
    <row r="111">
      <c r="A111" s="10"/>
      <c r="C111" s="10"/>
      <c r="D111" s="10"/>
    </row>
    <row r="112">
      <c r="A112" s="10"/>
      <c r="C112" s="10"/>
      <c r="D112" s="10"/>
    </row>
    <row r="113">
      <c r="A113" s="10"/>
      <c r="C113" s="10"/>
      <c r="D113" s="10"/>
    </row>
    <row r="114">
      <c r="A114" s="10"/>
      <c r="C114" s="10"/>
      <c r="D114" s="10"/>
    </row>
    <row r="115">
      <c r="A115" s="10"/>
      <c r="C115" s="10"/>
      <c r="D115" s="10"/>
    </row>
    <row r="116">
      <c r="A116" s="10"/>
      <c r="C116" s="10"/>
      <c r="D116" s="10"/>
    </row>
    <row r="117">
      <c r="A117" s="10"/>
      <c r="C117" s="10"/>
      <c r="D117" s="10"/>
    </row>
    <row r="118">
      <c r="A118" s="10"/>
      <c r="C118" s="10"/>
      <c r="D118" s="10"/>
    </row>
    <row r="119">
      <c r="A119" s="10"/>
      <c r="C119" s="10"/>
      <c r="D119" s="10"/>
    </row>
    <row r="120">
      <c r="A120" s="10"/>
      <c r="C120" s="10"/>
      <c r="D120" s="10"/>
    </row>
    <row r="121">
      <c r="A121" s="10"/>
      <c r="C121" s="10"/>
      <c r="D121" s="10"/>
    </row>
    <row r="122">
      <c r="A122" s="10"/>
      <c r="C122" s="10"/>
      <c r="D122" s="10"/>
    </row>
    <row r="123">
      <c r="A123" s="10"/>
      <c r="C123" s="10"/>
      <c r="D123" s="10"/>
    </row>
    <row r="124">
      <c r="A124" s="10"/>
      <c r="C124" s="10"/>
      <c r="D124" s="10"/>
    </row>
    <row r="125">
      <c r="A125" s="10"/>
      <c r="C125" s="10"/>
      <c r="D125" s="10"/>
    </row>
    <row r="126">
      <c r="A126" s="10"/>
      <c r="C126" s="10"/>
      <c r="D126" s="10"/>
    </row>
    <row r="127">
      <c r="A127" s="10"/>
      <c r="C127" s="10"/>
      <c r="D127" s="10"/>
    </row>
    <row r="128">
      <c r="A128" s="10"/>
      <c r="C128" s="10"/>
      <c r="D128" s="10"/>
    </row>
    <row r="129">
      <c r="A129" s="10"/>
      <c r="C129" s="10"/>
      <c r="D129" s="10"/>
    </row>
    <row r="130">
      <c r="A130" s="10"/>
      <c r="C130" s="10"/>
      <c r="D130" s="10"/>
    </row>
    <row r="131">
      <c r="A131" s="10"/>
      <c r="C131" s="10"/>
      <c r="D131" s="10"/>
    </row>
    <row r="132">
      <c r="A132" s="10"/>
      <c r="C132" s="10"/>
      <c r="D132" s="10"/>
    </row>
    <row r="133">
      <c r="A133" s="10"/>
      <c r="C133" s="10"/>
      <c r="D133" s="10"/>
    </row>
    <row r="134">
      <c r="A134" s="10"/>
      <c r="C134" s="10"/>
      <c r="D134" s="10"/>
    </row>
    <row r="135">
      <c r="A135" s="10"/>
      <c r="C135" s="10"/>
      <c r="D135" s="10"/>
    </row>
    <row r="136">
      <c r="A136" s="10"/>
      <c r="C136" s="10"/>
      <c r="D136" s="10"/>
    </row>
    <row r="137">
      <c r="A137" s="10"/>
      <c r="C137" s="10"/>
      <c r="D137" s="10"/>
    </row>
    <row r="138">
      <c r="A138" s="10"/>
      <c r="C138" s="10"/>
      <c r="D138" s="10"/>
    </row>
    <row r="139">
      <c r="A139" s="10"/>
      <c r="C139" s="10"/>
      <c r="D139" s="10"/>
    </row>
    <row r="140">
      <c r="A140" s="10"/>
      <c r="C140" s="10"/>
      <c r="D140" s="10"/>
    </row>
    <row r="141">
      <c r="A141" s="10"/>
      <c r="C141" s="10"/>
      <c r="D141" s="10"/>
    </row>
    <row r="142">
      <c r="A142" s="10"/>
      <c r="C142" s="10"/>
      <c r="D142" s="10"/>
    </row>
    <row r="143">
      <c r="A143" s="10"/>
      <c r="C143" s="10"/>
      <c r="D143" s="10"/>
    </row>
    <row r="144">
      <c r="A144" s="10"/>
      <c r="C144" s="10"/>
      <c r="D144" s="10"/>
    </row>
    <row r="145">
      <c r="A145" s="10"/>
      <c r="C145" s="10"/>
      <c r="D145" s="10"/>
    </row>
    <row r="146">
      <c r="A146" s="10"/>
      <c r="C146" s="10"/>
      <c r="D146" s="10"/>
    </row>
    <row r="147">
      <c r="A147" s="10"/>
      <c r="C147" s="10"/>
      <c r="D147" s="10"/>
    </row>
    <row r="148">
      <c r="A148" s="10"/>
      <c r="C148" s="10"/>
      <c r="D148" s="10"/>
    </row>
    <row r="149">
      <c r="A149" s="10"/>
      <c r="C149" s="10"/>
      <c r="D149" s="10"/>
    </row>
    <row r="150">
      <c r="A150" s="10"/>
      <c r="C150" s="10"/>
      <c r="D150" s="10"/>
    </row>
    <row r="151">
      <c r="A151" s="10"/>
      <c r="C151" s="10"/>
      <c r="D151" s="10"/>
    </row>
    <row r="152">
      <c r="A152" s="10"/>
      <c r="C152" s="10"/>
      <c r="D152" s="10"/>
    </row>
    <row r="153">
      <c r="A153" s="10"/>
      <c r="C153" s="10"/>
      <c r="D153" s="10"/>
    </row>
    <row r="154">
      <c r="A154" s="10"/>
      <c r="C154" s="10"/>
      <c r="D154" s="10"/>
    </row>
    <row r="155">
      <c r="A155" s="10"/>
      <c r="C155" s="10"/>
      <c r="D155" s="10"/>
    </row>
    <row r="156">
      <c r="A156" s="10"/>
      <c r="C156" s="10"/>
      <c r="D156" s="10"/>
    </row>
    <row r="157">
      <c r="A157" s="10"/>
      <c r="C157" s="10"/>
      <c r="D157" s="10"/>
    </row>
    <row r="158">
      <c r="A158" s="10"/>
      <c r="C158" s="10"/>
      <c r="D158" s="10"/>
    </row>
    <row r="159">
      <c r="A159" s="10"/>
      <c r="C159" s="10"/>
      <c r="D159" s="10"/>
    </row>
    <row r="160">
      <c r="A160" s="10"/>
      <c r="C160" s="10"/>
      <c r="D160" s="10"/>
    </row>
    <row r="161">
      <c r="A161" s="10"/>
      <c r="C161" s="10"/>
      <c r="D161" s="10"/>
    </row>
    <row r="162">
      <c r="A162" s="10"/>
      <c r="C162" s="10"/>
      <c r="D162" s="10"/>
    </row>
    <row r="163">
      <c r="A163" s="10"/>
      <c r="C163" s="10"/>
      <c r="D163" s="10"/>
    </row>
    <row r="164">
      <c r="A164" s="10"/>
      <c r="C164" s="10"/>
      <c r="D164" s="10"/>
    </row>
    <row r="165">
      <c r="A165" s="10"/>
      <c r="C165" s="10"/>
      <c r="D165" s="10"/>
    </row>
    <row r="166">
      <c r="A166" s="10"/>
      <c r="C166" s="10"/>
      <c r="D166" s="10"/>
    </row>
    <row r="167">
      <c r="A167" s="10"/>
      <c r="C167" s="10"/>
      <c r="D167" s="10"/>
    </row>
    <row r="168">
      <c r="A168" s="10"/>
      <c r="C168" s="10"/>
      <c r="D168" s="10"/>
    </row>
    <row r="169">
      <c r="A169" s="10"/>
      <c r="C169" s="10"/>
      <c r="D169" s="10"/>
    </row>
    <row r="170">
      <c r="A170" s="10"/>
      <c r="C170" s="10"/>
      <c r="D170" s="10"/>
    </row>
    <row r="171">
      <c r="A171" s="10"/>
      <c r="C171" s="10"/>
      <c r="D171" s="10"/>
    </row>
    <row r="172">
      <c r="A172" s="10"/>
      <c r="C172" s="10"/>
      <c r="D172" s="10"/>
    </row>
    <row r="173">
      <c r="A173" s="10"/>
      <c r="C173" s="10"/>
      <c r="D173" s="10"/>
    </row>
    <row r="174">
      <c r="A174" s="10"/>
      <c r="C174" s="10"/>
      <c r="D174" s="10"/>
    </row>
    <row r="175">
      <c r="A175" s="10"/>
      <c r="C175" s="10"/>
      <c r="D175" s="10"/>
    </row>
    <row r="176">
      <c r="A176" s="10"/>
      <c r="C176" s="10"/>
      <c r="D176" s="10"/>
    </row>
    <row r="177">
      <c r="A177" s="10"/>
      <c r="C177" s="10"/>
      <c r="D177" s="10"/>
    </row>
    <row r="178">
      <c r="A178" s="10"/>
      <c r="C178" s="10"/>
      <c r="D178" s="10"/>
    </row>
    <row r="179">
      <c r="A179" s="10"/>
      <c r="C179" s="10"/>
      <c r="D179" s="10"/>
    </row>
    <row r="180">
      <c r="A180" s="10"/>
      <c r="C180" s="10"/>
      <c r="D180" s="10"/>
    </row>
    <row r="181">
      <c r="A181" s="10"/>
      <c r="C181" s="10"/>
      <c r="D181" s="10"/>
    </row>
    <row r="182">
      <c r="A182" s="10"/>
      <c r="C182" s="10"/>
      <c r="D182" s="10"/>
    </row>
    <row r="183">
      <c r="A183" s="10"/>
      <c r="C183" s="10"/>
      <c r="D183" s="10"/>
    </row>
    <row r="184">
      <c r="A184" s="10"/>
      <c r="C184" s="10"/>
      <c r="D184" s="10"/>
    </row>
    <row r="185">
      <c r="A185" s="10"/>
      <c r="C185" s="10"/>
      <c r="D185" s="10"/>
    </row>
    <row r="186">
      <c r="A186" s="10"/>
      <c r="C186" s="10"/>
      <c r="D186" s="10"/>
    </row>
    <row r="187">
      <c r="A187" s="10"/>
      <c r="C187" s="10"/>
      <c r="D187" s="10"/>
    </row>
    <row r="188">
      <c r="A188" s="10"/>
      <c r="C188" s="10"/>
      <c r="D188" s="10"/>
    </row>
    <row r="189">
      <c r="A189" s="10"/>
      <c r="C189" s="10"/>
      <c r="D189" s="10"/>
    </row>
    <row r="190">
      <c r="A190" s="10"/>
      <c r="C190" s="10"/>
      <c r="D190" s="10"/>
    </row>
    <row r="191">
      <c r="A191" s="10"/>
      <c r="C191" s="10"/>
      <c r="D191" s="10"/>
    </row>
    <row r="192">
      <c r="A192" s="10"/>
      <c r="C192" s="10"/>
      <c r="D192" s="10"/>
    </row>
    <row r="193">
      <c r="A193" s="10"/>
      <c r="C193" s="10"/>
      <c r="D193" s="10"/>
    </row>
    <row r="194">
      <c r="A194" s="10"/>
      <c r="C194" s="10"/>
      <c r="D194" s="10"/>
    </row>
    <row r="195">
      <c r="A195" s="10"/>
      <c r="C195" s="10"/>
      <c r="D195" s="10"/>
    </row>
    <row r="196">
      <c r="A196" s="10"/>
      <c r="C196" s="10"/>
      <c r="D196" s="10"/>
    </row>
    <row r="197">
      <c r="A197" s="10"/>
      <c r="C197" s="10"/>
      <c r="D197" s="10"/>
    </row>
    <row r="198">
      <c r="A198" s="10"/>
      <c r="C198" s="10"/>
      <c r="D198" s="10"/>
    </row>
    <row r="199">
      <c r="A199" s="10"/>
      <c r="C199" s="10"/>
      <c r="D199" s="10"/>
    </row>
    <row r="200">
      <c r="A200" s="10"/>
      <c r="C200" s="10"/>
      <c r="D200" s="10"/>
    </row>
    <row r="201">
      <c r="A201" s="10"/>
      <c r="C201" s="10"/>
      <c r="D201" s="10"/>
    </row>
    <row r="202">
      <c r="A202" s="10"/>
      <c r="C202" s="10"/>
      <c r="D202" s="10"/>
    </row>
    <row r="203">
      <c r="A203" s="10"/>
      <c r="C203" s="10"/>
      <c r="D203" s="10"/>
    </row>
    <row r="204">
      <c r="A204" s="10"/>
      <c r="C204" s="10"/>
      <c r="D204" s="10"/>
    </row>
    <row r="205">
      <c r="A205" s="10"/>
      <c r="C205" s="10"/>
      <c r="D205" s="10"/>
    </row>
    <row r="206">
      <c r="A206" s="10"/>
      <c r="C206" s="10"/>
      <c r="D206" s="10"/>
    </row>
    <row r="207">
      <c r="A207" s="10"/>
      <c r="C207" s="10"/>
      <c r="D207" s="10"/>
    </row>
    <row r="208">
      <c r="A208" s="10"/>
      <c r="C208" s="10"/>
      <c r="D208" s="10"/>
    </row>
    <row r="209">
      <c r="A209" s="10"/>
      <c r="C209" s="10"/>
      <c r="D209" s="10"/>
    </row>
    <row r="210">
      <c r="A210" s="10"/>
      <c r="C210" s="10"/>
      <c r="D210" s="10"/>
    </row>
    <row r="211">
      <c r="A211" s="10"/>
      <c r="C211" s="10"/>
      <c r="D211" s="10"/>
    </row>
    <row r="212">
      <c r="A212" s="10"/>
      <c r="C212" s="10"/>
      <c r="D212" s="10"/>
    </row>
    <row r="213">
      <c r="A213" s="10"/>
      <c r="C213" s="10"/>
      <c r="D213" s="10"/>
    </row>
    <row r="214">
      <c r="A214" s="10"/>
      <c r="C214" s="10"/>
      <c r="D214" s="10"/>
    </row>
    <row r="215">
      <c r="A215" s="10"/>
      <c r="C215" s="10"/>
      <c r="D215" s="10"/>
    </row>
    <row r="216">
      <c r="A216" s="10"/>
      <c r="C216" s="10"/>
      <c r="D216" s="10"/>
    </row>
    <row r="217">
      <c r="A217" s="10"/>
      <c r="C217" s="10"/>
      <c r="D217" s="10"/>
    </row>
    <row r="218">
      <c r="A218" s="10"/>
      <c r="C218" s="10"/>
      <c r="D218" s="10"/>
    </row>
    <row r="219">
      <c r="A219" s="10"/>
      <c r="C219" s="10"/>
      <c r="D219" s="10"/>
    </row>
    <row r="220">
      <c r="A220" s="10"/>
      <c r="C220" s="10"/>
      <c r="D220" s="10"/>
    </row>
    <row r="221">
      <c r="A221" s="10"/>
      <c r="C221" s="10"/>
      <c r="D221" s="10"/>
    </row>
    <row r="222">
      <c r="A222" s="10"/>
      <c r="C222" s="10"/>
      <c r="D222" s="10"/>
    </row>
    <row r="223">
      <c r="A223" s="10"/>
      <c r="C223" s="10"/>
      <c r="D223" s="10"/>
    </row>
    <row r="224">
      <c r="A224" s="10"/>
      <c r="C224" s="10"/>
      <c r="D224" s="10"/>
    </row>
    <row r="225">
      <c r="A225" s="10"/>
      <c r="C225" s="10"/>
      <c r="D225" s="10"/>
    </row>
    <row r="226">
      <c r="A226" s="10"/>
      <c r="C226" s="10"/>
      <c r="D226" s="10"/>
    </row>
    <row r="227">
      <c r="A227" s="10"/>
      <c r="C227" s="10"/>
      <c r="D227" s="10"/>
    </row>
    <row r="228">
      <c r="A228" s="10"/>
      <c r="C228" s="10"/>
      <c r="D228" s="10"/>
    </row>
    <row r="229">
      <c r="A229" s="10"/>
      <c r="C229" s="10"/>
      <c r="D229" s="10"/>
    </row>
    <row r="230">
      <c r="A230" s="10"/>
      <c r="C230" s="10"/>
      <c r="D230" s="10"/>
    </row>
    <row r="231">
      <c r="A231" s="10"/>
      <c r="C231" s="10"/>
      <c r="D231" s="10"/>
    </row>
    <row r="232">
      <c r="A232" s="10"/>
      <c r="C232" s="10"/>
      <c r="D232" s="10"/>
    </row>
    <row r="233">
      <c r="A233" s="10"/>
      <c r="C233" s="10"/>
      <c r="D233" s="10"/>
    </row>
    <row r="234">
      <c r="A234" s="10"/>
      <c r="C234" s="10"/>
      <c r="D234" s="10"/>
    </row>
    <row r="235">
      <c r="A235" s="10"/>
      <c r="C235" s="10"/>
      <c r="D235" s="10"/>
    </row>
    <row r="236">
      <c r="A236" s="10"/>
      <c r="C236" s="10"/>
      <c r="D236" s="10"/>
    </row>
    <row r="237">
      <c r="A237" s="10"/>
      <c r="C237" s="10"/>
      <c r="D237" s="10"/>
    </row>
    <row r="238">
      <c r="A238" s="10"/>
      <c r="C238" s="10"/>
      <c r="D238" s="10"/>
    </row>
    <row r="239">
      <c r="A239" s="10"/>
      <c r="C239" s="10"/>
      <c r="D239" s="10"/>
    </row>
    <row r="240">
      <c r="A240" s="10"/>
      <c r="C240" s="10"/>
      <c r="D240" s="10"/>
    </row>
    <row r="241">
      <c r="A241" s="10"/>
      <c r="C241" s="10"/>
      <c r="D241" s="10"/>
    </row>
    <row r="242">
      <c r="A242" s="10"/>
      <c r="C242" s="10"/>
      <c r="D242" s="10"/>
    </row>
    <row r="243">
      <c r="A243" s="10"/>
      <c r="C243" s="10"/>
      <c r="D243" s="10"/>
    </row>
    <row r="244">
      <c r="A244" s="10"/>
      <c r="C244" s="10"/>
      <c r="D244" s="10"/>
    </row>
    <row r="245">
      <c r="A245" s="10"/>
      <c r="C245" s="10"/>
      <c r="D245" s="10"/>
    </row>
    <row r="246">
      <c r="A246" s="10"/>
      <c r="C246" s="10"/>
      <c r="D246" s="10"/>
    </row>
    <row r="247">
      <c r="A247" s="10"/>
      <c r="C247" s="10"/>
      <c r="D247" s="10"/>
    </row>
    <row r="248">
      <c r="A248" s="10"/>
      <c r="C248" s="10"/>
      <c r="D248" s="10"/>
    </row>
    <row r="249">
      <c r="A249" s="10"/>
      <c r="C249" s="10"/>
      <c r="D249" s="10"/>
    </row>
    <row r="250">
      <c r="A250" s="10"/>
      <c r="C250" s="10"/>
      <c r="D250" s="10"/>
    </row>
    <row r="251">
      <c r="A251" s="10"/>
      <c r="C251" s="10"/>
      <c r="D251" s="10"/>
    </row>
    <row r="252">
      <c r="A252" s="10"/>
      <c r="C252" s="10"/>
      <c r="D252" s="10"/>
    </row>
    <row r="253">
      <c r="A253" s="10"/>
      <c r="C253" s="10"/>
      <c r="D253" s="10"/>
    </row>
    <row r="254">
      <c r="A254" s="10"/>
      <c r="C254" s="10"/>
      <c r="D254" s="10"/>
    </row>
    <row r="255">
      <c r="A255" s="10"/>
      <c r="C255" s="10"/>
      <c r="D255" s="10"/>
    </row>
    <row r="256">
      <c r="A256" s="10"/>
      <c r="C256" s="10"/>
      <c r="D256" s="10"/>
    </row>
    <row r="257">
      <c r="A257" s="10"/>
      <c r="C257" s="10"/>
      <c r="D257" s="10"/>
    </row>
    <row r="258">
      <c r="A258" s="10"/>
      <c r="C258" s="10"/>
      <c r="D258" s="10"/>
    </row>
    <row r="259">
      <c r="A259" s="10"/>
      <c r="C259" s="10"/>
      <c r="D259" s="10"/>
    </row>
    <row r="260">
      <c r="A260" s="10"/>
      <c r="C260" s="10"/>
      <c r="D260" s="10"/>
    </row>
    <row r="261">
      <c r="A261" s="10"/>
      <c r="C261" s="10"/>
      <c r="D261" s="10"/>
    </row>
    <row r="262">
      <c r="A262" s="10"/>
      <c r="C262" s="10"/>
      <c r="D262" s="10"/>
    </row>
    <row r="263">
      <c r="A263" s="10"/>
      <c r="C263" s="10"/>
      <c r="D263" s="10"/>
    </row>
    <row r="264">
      <c r="A264" s="10"/>
      <c r="C264" s="10"/>
      <c r="D264" s="10"/>
    </row>
    <row r="265">
      <c r="A265" s="10"/>
      <c r="C265" s="10"/>
      <c r="D265" s="10"/>
    </row>
    <row r="266">
      <c r="A266" s="10"/>
      <c r="C266" s="10"/>
      <c r="D266" s="10"/>
    </row>
    <row r="267">
      <c r="A267" s="10"/>
      <c r="C267" s="10"/>
      <c r="D267" s="10"/>
    </row>
    <row r="268">
      <c r="A268" s="10"/>
      <c r="C268" s="10"/>
      <c r="D268" s="10"/>
    </row>
    <row r="269">
      <c r="A269" s="10"/>
      <c r="C269" s="10"/>
      <c r="D269" s="10"/>
    </row>
    <row r="270">
      <c r="A270" s="10"/>
      <c r="C270" s="10"/>
      <c r="D270" s="10"/>
    </row>
    <row r="271">
      <c r="A271" s="10"/>
      <c r="C271" s="10"/>
      <c r="D271" s="10"/>
    </row>
    <row r="272">
      <c r="A272" s="10"/>
      <c r="C272" s="10"/>
      <c r="D272" s="10"/>
    </row>
    <row r="273">
      <c r="A273" s="10"/>
      <c r="C273" s="10"/>
      <c r="D273" s="10"/>
    </row>
    <row r="274">
      <c r="A274" s="10"/>
      <c r="C274" s="10"/>
      <c r="D274" s="10"/>
    </row>
    <row r="275">
      <c r="A275" s="10"/>
      <c r="C275" s="10"/>
      <c r="D275" s="10"/>
    </row>
    <row r="276">
      <c r="A276" s="10"/>
      <c r="C276" s="10"/>
      <c r="D276" s="10"/>
    </row>
    <row r="277">
      <c r="A277" s="10"/>
      <c r="C277" s="10"/>
      <c r="D277" s="10"/>
    </row>
    <row r="278">
      <c r="A278" s="10"/>
      <c r="C278" s="10"/>
      <c r="D278" s="10"/>
    </row>
    <row r="279">
      <c r="A279" s="10"/>
      <c r="C279" s="10"/>
      <c r="D279" s="10"/>
    </row>
    <row r="280">
      <c r="A280" s="10"/>
      <c r="C280" s="10"/>
      <c r="D280" s="10"/>
    </row>
    <row r="281">
      <c r="A281" s="10"/>
      <c r="C281" s="10"/>
      <c r="D281" s="10"/>
    </row>
    <row r="282">
      <c r="A282" s="10"/>
      <c r="C282" s="10"/>
      <c r="D282" s="10"/>
    </row>
    <row r="283">
      <c r="A283" s="10"/>
      <c r="C283" s="10"/>
      <c r="D283" s="10"/>
    </row>
    <row r="284">
      <c r="A284" s="10"/>
      <c r="C284" s="10"/>
      <c r="D284" s="10"/>
    </row>
    <row r="285">
      <c r="A285" s="10"/>
      <c r="C285" s="10"/>
      <c r="D285" s="10"/>
    </row>
    <row r="286">
      <c r="A286" s="10"/>
      <c r="C286" s="10"/>
      <c r="D286" s="10"/>
    </row>
    <row r="287">
      <c r="A287" s="10"/>
      <c r="C287" s="10"/>
      <c r="D287" s="10"/>
    </row>
    <row r="288">
      <c r="A288" s="10"/>
      <c r="C288" s="10"/>
      <c r="D288" s="10"/>
    </row>
    <row r="289">
      <c r="A289" s="10"/>
      <c r="C289" s="10"/>
      <c r="D289" s="10"/>
    </row>
    <row r="290">
      <c r="A290" s="10"/>
      <c r="C290" s="10"/>
      <c r="D290" s="10"/>
    </row>
    <row r="291">
      <c r="A291" s="10"/>
      <c r="C291" s="10"/>
      <c r="D291" s="10"/>
    </row>
    <row r="292">
      <c r="A292" s="10"/>
      <c r="C292" s="10"/>
      <c r="D292" s="10"/>
    </row>
    <row r="293">
      <c r="A293" s="10"/>
      <c r="C293" s="10"/>
      <c r="D293" s="10"/>
    </row>
    <row r="294">
      <c r="A294" s="10"/>
      <c r="C294" s="10"/>
      <c r="D294" s="10"/>
    </row>
    <row r="295">
      <c r="A295" s="10"/>
      <c r="C295" s="10"/>
      <c r="D295" s="10"/>
    </row>
    <row r="296">
      <c r="A296" s="10"/>
      <c r="C296" s="10"/>
      <c r="D296" s="10"/>
    </row>
    <row r="297">
      <c r="A297" s="10"/>
      <c r="C297" s="10"/>
      <c r="D297" s="10"/>
    </row>
    <row r="298">
      <c r="A298" s="10"/>
      <c r="C298" s="10"/>
      <c r="D298" s="10"/>
    </row>
    <row r="299">
      <c r="A299" s="10"/>
      <c r="C299" s="10"/>
      <c r="D299" s="10"/>
    </row>
    <row r="300">
      <c r="A300" s="10"/>
      <c r="C300" s="10"/>
      <c r="D300" s="10"/>
    </row>
    <row r="301">
      <c r="A301" s="10"/>
      <c r="C301" s="10"/>
      <c r="D301" s="10"/>
    </row>
    <row r="302">
      <c r="A302" s="10"/>
      <c r="C302" s="10"/>
      <c r="D302" s="10"/>
    </row>
    <row r="303">
      <c r="A303" s="10"/>
      <c r="C303" s="10"/>
      <c r="D303" s="10"/>
    </row>
    <row r="304">
      <c r="A304" s="10"/>
      <c r="C304" s="10"/>
      <c r="D304" s="10"/>
    </row>
    <row r="305">
      <c r="A305" s="10"/>
      <c r="C305" s="10"/>
      <c r="D305" s="10"/>
    </row>
    <row r="306">
      <c r="A306" s="10"/>
      <c r="C306" s="10"/>
      <c r="D306" s="10"/>
    </row>
    <row r="307">
      <c r="A307" s="10"/>
      <c r="C307" s="10"/>
      <c r="D307" s="10"/>
    </row>
    <row r="308">
      <c r="A308" s="10"/>
      <c r="C308" s="10"/>
      <c r="D308" s="10"/>
    </row>
    <row r="309">
      <c r="A309" s="10"/>
      <c r="C309" s="10"/>
      <c r="D309" s="10"/>
    </row>
    <row r="310">
      <c r="A310" s="10"/>
      <c r="C310" s="10"/>
      <c r="D310" s="10"/>
    </row>
    <row r="311">
      <c r="A311" s="10"/>
      <c r="C311" s="10"/>
      <c r="D311" s="10"/>
    </row>
    <row r="312">
      <c r="A312" s="10"/>
      <c r="C312" s="10"/>
      <c r="D312" s="10"/>
    </row>
    <row r="313">
      <c r="A313" s="10"/>
      <c r="C313" s="10"/>
      <c r="D313" s="10"/>
    </row>
    <row r="314">
      <c r="A314" s="10"/>
      <c r="C314" s="10"/>
      <c r="D314" s="10"/>
    </row>
    <row r="315">
      <c r="A315" s="10"/>
      <c r="C315" s="10"/>
      <c r="D315" s="10"/>
    </row>
    <row r="316">
      <c r="A316" s="10"/>
      <c r="C316" s="10"/>
      <c r="D316" s="10"/>
    </row>
    <row r="317">
      <c r="A317" s="10"/>
      <c r="C317" s="10"/>
      <c r="D317" s="10"/>
    </row>
    <row r="318">
      <c r="A318" s="10"/>
      <c r="C318" s="10"/>
      <c r="D318" s="10"/>
    </row>
    <row r="319">
      <c r="A319" s="10"/>
      <c r="C319" s="10"/>
      <c r="D319" s="10"/>
    </row>
    <row r="320">
      <c r="A320" s="10"/>
      <c r="C320" s="10"/>
      <c r="D320" s="10"/>
    </row>
    <row r="321">
      <c r="A321" s="10"/>
      <c r="C321" s="10"/>
      <c r="D321" s="10"/>
    </row>
    <row r="322">
      <c r="A322" s="10"/>
      <c r="C322" s="10"/>
      <c r="D322" s="10"/>
    </row>
    <row r="323">
      <c r="A323" s="10"/>
      <c r="C323" s="10"/>
      <c r="D323" s="10"/>
    </row>
    <row r="324">
      <c r="A324" s="10"/>
      <c r="C324" s="10"/>
      <c r="D324" s="10"/>
    </row>
    <row r="325">
      <c r="A325" s="10"/>
      <c r="C325" s="10"/>
      <c r="D325" s="10"/>
    </row>
    <row r="326">
      <c r="A326" s="10"/>
      <c r="C326" s="10"/>
      <c r="D326" s="10"/>
    </row>
    <row r="327">
      <c r="A327" s="10"/>
      <c r="C327" s="10"/>
      <c r="D327" s="10"/>
    </row>
    <row r="328">
      <c r="A328" s="10"/>
      <c r="C328" s="10"/>
      <c r="D328" s="10"/>
    </row>
    <row r="329">
      <c r="A329" s="10"/>
      <c r="C329" s="10"/>
      <c r="D329" s="10"/>
    </row>
    <row r="330">
      <c r="A330" s="10"/>
      <c r="C330" s="10"/>
      <c r="D330" s="10"/>
    </row>
    <row r="331">
      <c r="A331" s="10"/>
      <c r="C331" s="10"/>
      <c r="D331" s="10"/>
    </row>
    <row r="332">
      <c r="A332" s="10"/>
      <c r="C332" s="10"/>
      <c r="D332" s="10"/>
    </row>
    <row r="333">
      <c r="A333" s="10"/>
      <c r="C333" s="10"/>
      <c r="D333" s="10"/>
    </row>
    <row r="334">
      <c r="A334" s="10"/>
      <c r="C334" s="10"/>
      <c r="D334" s="10"/>
    </row>
    <row r="335">
      <c r="A335" s="10"/>
      <c r="C335" s="10"/>
      <c r="D335" s="10"/>
    </row>
    <row r="336">
      <c r="A336" s="10"/>
      <c r="C336" s="10"/>
      <c r="D336" s="10"/>
    </row>
    <row r="337">
      <c r="A337" s="10"/>
      <c r="C337" s="10"/>
      <c r="D337" s="10"/>
    </row>
    <row r="338">
      <c r="A338" s="10"/>
      <c r="C338" s="10"/>
      <c r="D338" s="10"/>
    </row>
    <row r="339">
      <c r="A339" s="10"/>
      <c r="C339" s="10"/>
      <c r="D339" s="10"/>
    </row>
    <row r="340">
      <c r="A340" s="10"/>
      <c r="C340" s="10"/>
      <c r="D340" s="10"/>
    </row>
    <row r="341">
      <c r="A341" s="10"/>
      <c r="C341" s="10"/>
      <c r="D341" s="10"/>
    </row>
    <row r="342">
      <c r="A342" s="10"/>
      <c r="C342" s="10"/>
      <c r="D342" s="10"/>
    </row>
    <row r="343">
      <c r="A343" s="10"/>
      <c r="C343" s="10"/>
      <c r="D343" s="10"/>
    </row>
    <row r="344">
      <c r="A344" s="10"/>
      <c r="C344" s="10"/>
      <c r="D344" s="10"/>
    </row>
    <row r="345">
      <c r="A345" s="10"/>
      <c r="C345" s="10"/>
      <c r="D345" s="10"/>
    </row>
    <row r="346">
      <c r="A346" s="10"/>
      <c r="C346" s="10"/>
      <c r="D346" s="10"/>
    </row>
    <row r="347">
      <c r="A347" s="10"/>
      <c r="C347" s="10"/>
      <c r="D347" s="10"/>
    </row>
    <row r="348">
      <c r="A348" s="10"/>
      <c r="C348" s="10"/>
      <c r="D348" s="10"/>
    </row>
    <row r="349">
      <c r="A349" s="10"/>
      <c r="C349" s="10"/>
      <c r="D349" s="10"/>
    </row>
    <row r="350">
      <c r="A350" s="10"/>
      <c r="C350" s="10"/>
      <c r="D350" s="10"/>
    </row>
    <row r="351">
      <c r="A351" s="10"/>
      <c r="C351" s="10"/>
      <c r="D351" s="10"/>
    </row>
    <row r="352">
      <c r="A352" s="10"/>
      <c r="C352" s="10"/>
      <c r="D352" s="10"/>
    </row>
    <row r="353">
      <c r="A353" s="10"/>
      <c r="C353" s="10"/>
      <c r="D353" s="10"/>
    </row>
    <row r="354">
      <c r="A354" s="10"/>
      <c r="C354" s="10"/>
      <c r="D354" s="10"/>
    </row>
    <row r="355">
      <c r="A355" s="10"/>
      <c r="C355" s="10"/>
      <c r="D355" s="10"/>
    </row>
    <row r="356">
      <c r="A356" s="10"/>
      <c r="C356" s="10"/>
      <c r="D356" s="10"/>
    </row>
    <row r="357">
      <c r="A357" s="10"/>
      <c r="C357" s="10"/>
      <c r="D357" s="10"/>
    </row>
    <row r="358">
      <c r="A358" s="10"/>
      <c r="C358" s="10"/>
      <c r="D358" s="10"/>
    </row>
    <row r="359">
      <c r="A359" s="10"/>
      <c r="C359" s="10"/>
      <c r="D359" s="10"/>
    </row>
    <row r="360">
      <c r="A360" s="10"/>
      <c r="C360" s="10"/>
      <c r="D360" s="10"/>
    </row>
    <row r="361">
      <c r="A361" s="10"/>
      <c r="C361" s="10"/>
      <c r="D361" s="10"/>
    </row>
    <row r="362">
      <c r="A362" s="10"/>
      <c r="C362" s="10"/>
      <c r="D362" s="10"/>
    </row>
    <row r="363">
      <c r="A363" s="10"/>
      <c r="C363" s="10"/>
      <c r="D363" s="10"/>
    </row>
    <row r="364">
      <c r="A364" s="10"/>
      <c r="C364" s="10"/>
      <c r="D364" s="10"/>
    </row>
    <row r="365">
      <c r="A365" s="10"/>
      <c r="C365" s="10"/>
      <c r="D365" s="10"/>
    </row>
    <row r="366">
      <c r="A366" s="10"/>
      <c r="C366" s="10"/>
      <c r="D366" s="10"/>
    </row>
    <row r="367">
      <c r="A367" s="10"/>
      <c r="C367" s="10"/>
      <c r="D367" s="10"/>
    </row>
    <row r="368">
      <c r="A368" s="10"/>
      <c r="C368" s="10"/>
      <c r="D368" s="10"/>
    </row>
    <row r="369">
      <c r="A369" s="10"/>
      <c r="C369" s="10"/>
      <c r="D369" s="10"/>
    </row>
    <row r="370">
      <c r="A370" s="10"/>
      <c r="C370" s="10"/>
      <c r="D370" s="10"/>
    </row>
    <row r="371">
      <c r="A371" s="10"/>
      <c r="C371" s="10"/>
      <c r="D371" s="10"/>
    </row>
    <row r="372">
      <c r="A372" s="10"/>
      <c r="C372" s="10"/>
      <c r="D372" s="10"/>
    </row>
    <row r="373">
      <c r="A373" s="10"/>
      <c r="C373" s="10"/>
      <c r="D373" s="10"/>
    </row>
    <row r="374">
      <c r="A374" s="10"/>
      <c r="C374" s="10"/>
      <c r="D374" s="10"/>
    </row>
    <row r="375">
      <c r="A375" s="10"/>
      <c r="C375" s="10"/>
      <c r="D375" s="10"/>
    </row>
    <row r="376">
      <c r="A376" s="10"/>
      <c r="C376" s="10"/>
      <c r="D376" s="10"/>
    </row>
    <row r="377">
      <c r="A377" s="10"/>
      <c r="C377" s="10"/>
      <c r="D377" s="10"/>
    </row>
    <row r="378">
      <c r="A378" s="10"/>
      <c r="C378" s="10"/>
      <c r="D378" s="10"/>
    </row>
    <row r="379">
      <c r="A379" s="10"/>
      <c r="C379" s="10"/>
      <c r="D379" s="10"/>
    </row>
    <row r="380">
      <c r="A380" s="10"/>
      <c r="C380" s="10"/>
      <c r="D380" s="10"/>
    </row>
    <row r="381">
      <c r="A381" s="10"/>
      <c r="C381" s="10"/>
      <c r="D381" s="10"/>
    </row>
    <row r="382">
      <c r="A382" s="10"/>
      <c r="C382" s="10"/>
      <c r="D382" s="10"/>
    </row>
    <row r="383">
      <c r="A383" s="10"/>
      <c r="C383" s="10"/>
      <c r="D383" s="10"/>
    </row>
    <row r="384">
      <c r="A384" s="10"/>
      <c r="C384" s="10"/>
      <c r="D384" s="10"/>
    </row>
    <row r="385">
      <c r="A385" s="10"/>
      <c r="C385" s="10"/>
      <c r="D385" s="10"/>
    </row>
    <row r="386">
      <c r="A386" s="10"/>
      <c r="C386" s="10"/>
      <c r="D386" s="10"/>
    </row>
    <row r="387">
      <c r="A387" s="10"/>
      <c r="C387" s="10"/>
      <c r="D387" s="10"/>
    </row>
    <row r="388">
      <c r="A388" s="10"/>
      <c r="C388" s="10"/>
      <c r="D388" s="10"/>
    </row>
    <row r="389">
      <c r="A389" s="10"/>
      <c r="C389" s="10"/>
      <c r="D389" s="10"/>
    </row>
    <row r="390">
      <c r="A390" s="10"/>
      <c r="C390" s="10"/>
      <c r="D390" s="10"/>
    </row>
    <row r="391">
      <c r="A391" s="10"/>
      <c r="C391" s="10"/>
      <c r="D391" s="10"/>
    </row>
    <row r="392">
      <c r="A392" s="10"/>
      <c r="C392" s="10"/>
      <c r="D392" s="10"/>
    </row>
    <row r="393">
      <c r="A393" s="10"/>
      <c r="C393" s="10"/>
      <c r="D393" s="10"/>
    </row>
    <row r="394">
      <c r="A394" s="10"/>
      <c r="C394" s="10"/>
      <c r="D394" s="10"/>
    </row>
    <row r="395">
      <c r="A395" s="10"/>
      <c r="C395" s="10"/>
      <c r="D395" s="10"/>
    </row>
    <row r="396">
      <c r="A396" s="10"/>
      <c r="C396" s="10"/>
      <c r="D396" s="10"/>
    </row>
    <row r="397">
      <c r="A397" s="10"/>
      <c r="C397" s="10"/>
      <c r="D397" s="10"/>
    </row>
    <row r="398">
      <c r="A398" s="10"/>
      <c r="C398" s="10"/>
      <c r="D398" s="10"/>
    </row>
    <row r="399">
      <c r="A399" s="10"/>
      <c r="C399" s="10"/>
      <c r="D399" s="10"/>
    </row>
    <row r="400">
      <c r="A400" s="10"/>
      <c r="C400" s="10"/>
      <c r="D400" s="10"/>
    </row>
    <row r="401">
      <c r="A401" s="10"/>
      <c r="C401" s="10"/>
      <c r="D401" s="10"/>
    </row>
    <row r="402">
      <c r="A402" s="10"/>
      <c r="C402" s="10"/>
      <c r="D402" s="10"/>
    </row>
    <row r="403">
      <c r="A403" s="10"/>
      <c r="C403" s="10"/>
      <c r="D403" s="10"/>
    </row>
    <row r="404">
      <c r="A404" s="10"/>
      <c r="C404" s="10"/>
      <c r="D404" s="10"/>
    </row>
    <row r="405">
      <c r="A405" s="10"/>
      <c r="C405" s="10"/>
      <c r="D405" s="10"/>
    </row>
    <row r="406">
      <c r="A406" s="10"/>
      <c r="C406" s="10"/>
      <c r="D406" s="10"/>
    </row>
    <row r="407">
      <c r="A407" s="10"/>
      <c r="C407" s="10"/>
      <c r="D407" s="10"/>
    </row>
    <row r="408">
      <c r="A408" s="10"/>
      <c r="C408" s="10"/>
      <c r="D408" s="10"/>
    </row>
    <row r="409">
      <c r="A409" s="10"/>
      <c r="C409" s="10"/>
      <c r="D409" s="10"/>
    </row>
    <row r="410">
      <c r="A410" s="10"/>
      <c r="C410" s="10"/>
      <c r="D410" s="10"/>
    </row>
    <row r="411">
      <c r="A411" s="10"/>
      <c r="C411" s="10"/>
      <c r="D411" s="10"/>
    </row>
    <row r="412">
      <c r="A412" s="10"/>
      <c r="C412" s="10"/>
      <c r="D412" s="10"/>
    </row>
    <row r="413">
      <c r="A413" s="10"/>
      <c r="C413" s="10"/>
      <c r="D413" s="10"/>
    </row>
    <row r="414">
      <c r="A414" s="10"/>
      <c r="C414" s="10"/>
      <c r="D414" s="10"/>
    </row>
    <row r="415">
      <c r="A415" s="10"/>
      <c r="C415" s="10"/>
      <c r="D415" s="10"/>
    </row>
    <row r="416">
      <c r="A416" s="10"/>
      <c r="C416" s="10"/>
      <c r="D416" s="10"/>
    </row>
    <row r="417">
      <c r="A417" s="10"/>
      <c r="C417" s="10"/>
      <c r="D417" s="10"/>
    </row>
    <row r="418">
      <c r="A418" s="10"/>
      <c r="C418" s="10"/>
      <c r="D418" s="10"/>
    </row>
    <row r="419">
      <c r="A419" s="10"/>
      <c r="C419" s="10"/>
      <c r="D419" s="10"/>
    </row>
    <row r="420">
      <c r="A420" s="10"/>
      <c r="C420" s="10"/>
      <c r="D420" s="10"/>
    </row>
    <row r="421">
      <c r="A421" s="10"/>
      <c r="C421" s="10"/>
      <c r="D421" s="10"/>
    </row>
    <row r="422">
      <c r="A422" s="10"/>
      <c r="C422" s="10"/>
      <c r="D422" s="10"/>
    </row>
    <row r="423">
      <c r="A423" s="10"/>
      <c r="C423" s="10"/>
      <c r="D423" s="10"/>
    </row>
    <row r="424">
      <c r="A424" s="10"/>
      <c r="C424" s="10"/>
      <c r="D424" s="10"/>
    </row>
    <row r="425">
      <c r="A425" s="10"/>
      <c r="C425" s="10"/>
      <c r="D425" s="10"/>
    </row>
    <row r="426">
      <c r="A426" s="10"/>
      <c r="C426" s="10"/>
      <c r="D426" s="10"/>
    </row>
    <row r="427">
      <c r="A427" s="10"/>
      <c r="C427" s="10"/>
      <c r="D427" s="10"/>
    </row>
    <row r="428">
      <c r="A428" s="10"/>
      <c r="C428" s="10"/>
      <c r="D428" s="10"/>
    </row>
    <row r="429">
      <c r="A429" s="10"/>
      <c r="C429" s="10"/>
      <c r="D429" s="10"/>
    </row>
    <row r="430">
      <c r="A430" s="10"/>
      <c r="C430" s="10"/>
      <c r="D430" s="10"/>
    </row>
    <row r="431">
      <c r="A431" s="10"/>
      <c r="C431" s="10"/>
      <c r="D431" s="10"/>
    </row>
    <row r="432">
      <c r="A432" s="10"/>
      <c r="C432" s="10"/>
      <c r="D432" s="10"/>
    </row>
    <row r="433">
      <c r="A433" s="10"/>
      <c r="C433" s="10"/>
      <c r="D433" s="10"/>
    </row>
    <row r="434">
      <c r="A434" s="10"/>
      <c r="C434" s="10"/>
      <c r="D434" s="10"/>
    </row>
    <row r="435">
      <c r="A435" s="10"/>
      <c r="C435" s="10"/>
      <c r="D435" s="10"/>
    </row>
    <row r="436">
      <c r="A436" s="10"/>
      <c r="C436" s="10"/>
      <c r="D436" s="10"/>
    </row>
    <row r="437">
      <c r="A437" s="10"/>
      <c r="C437" s="10"/>
      <c r="D437" s="10"/>
    </row>
    <row r="438">
      <c r="A438" s="10"/>
      <c r="C438" s="10"/>
      <c r="D438" s="10"/>
    </row>
    <row r="439">
      <c r="A439" s="10"/>
      <c r="C439" s="10"/>
      <c r="D439" s="10"/>
    </row>
    <row r="440">
      <c r="A440" s="10"/>
      <c r="C440" s="10"/>
      <c r="D440" s="10"/>
    </row>
    <row r="441">
      <c r="A441" s="10"/>
      <c r="C441" s="10"/>
      <c r="D441" s="10"/>
    </row>
    <row r="442">
      <c r="A442" s="10"/>
      <c r="C442" s="10"/>
      <c r="D442" s="10"/>
    </row>
    <row r="443">
      <c r="A443" s="10"/>
      <c r="C443" s="10"/>
      <c r="D443" s="10"/>
    </row>
    <row r="444">
      <c r="A444" s="10"/>
      <c r="C444" s="10"/>
      <c r="D444" s="10"/>
    </row>
    <row r="445">
      <c r="A445" s="10"/>
      <c r="C445" s="10"/>
      <c r="D445" s="10"/>
    </row>
    <row r="446">
      <c r="A446" s="10"/>
      <c r="C446" s="10"/>
      <c r="D446" s="10"/>
    </row>
    <row r="447">
      <c r="A447" s="10"/>
      <c r="C447" s="10"/>
      <c r="D447" s="10"/>
    </row>
    <row r="448">
      <c r="A448" s="10"/>
      <c r="C448" s="10"/>
      <c r="D448" s="10"/>
    </row>
    <row r="449">
      <c r="A449" s="10"/>
      <c r="C449" s="10"/>
      <c r="D449" s="10"/>
    </row>
    <row r="450">
      <c r="A450" s="10"/>
      <c r="C450" s="10"/>
      <c r="D450" s="10"/>
    </row>
    <row r="451">
      <c r="A451" s="10"/>
      <c r="C451" s="10"/>
      <c r="D451" s="10"/>
    </row>
    <row r="452">
      <c r="A452" s="10"/>
      <c r="C452" s="10"/>
      <c r="D452" s="10"/>
    </row>
    <row r="453">
      <c r="A453" s="10"/>
      <c r="C453" s="10"/>
      <c r="D453" s="10"/>
    </row>
    <row r="454">
      <c r="A454" s="10"/>
      <c r="C454" s="10"/>
      <c r="D454" s="10"/>
    </row>
    <row r="455">
      <c r="A455" s="10"/>
      <c r="C455" s="10"/>
      <c r="D455" s="10"/>
    </row>
    <row r="456">
      <c r="A456" s="10"/>
      <c r="C456" s="10"/>
      <c r="D456" s="10"/>
    </row>
    <row r="457">
      <c r="A457" s="10"/>
      <c r="C457" s="10"/>
      <c r="D457" s="10"/>
    </row>
    <row r="458">
      <c r="A458" s="10"/>
      <c r="C458" s="10"/>
      <c r="D458" s="10"/>
    </row>
    <row r="459">
      <c r="A459" s="10"/>
      <c r="C459" s="10"/>
      <c r="D459" s="10"/>
    </row>
    <row r="460">
      <c r="A460" s="10"/>
      <c r="C460" s="10"/>
      <c r="D460" s="10"/>
    </row>
    <row r="461">
      <c r="A461" s="10"/>
      <c r="C461" s="10"/>
      <c r="D461" s="10"/>
    </row>
    <row r="462">
      <c r="A462" s="10"/>
      <c r="C462" s="10"/>
      <c r="D462" s="10"/>
    </row>
    <row r="463">
      <c r="A463" s="10"/>
      <c r="C463" s="10"/>
      <c r="D463" s="10"/>
    </row>
    <row r="464">
      <c r="A464" s="10"/>
      <c r="C464" s="10"/>
      <c r="D464" s="10"/>
    </row>
    <row r="465">
      <c r="A465" s="10"/>
      <c r="C465" s="10"/>
      <c r="D465" s="10"/>
    </row>
    <row r="466">
      <c r="A466" s="10"/>
      <c r="C466" s="10"/>
      <c r="D466" s="10"/>
    </row>
    <row r="467">
      <c r="A467" s="10"/>
      <c r="C467" s="10"/>
      <c r="D467" s="10"/>
    </row>
    <row r="468">
      <c r="A468" s="10"/>
      <c r="C468" s="10"/>
      <c r="D468" s="10"/>
    </row>
    <row r="469">
      <c r="A469" s="10"/>
      <c r="C469" s="10"/>
      <c r="D469" s="10"/>
    </row>
    <row r="470">
      <c r="A470" s="10"/>
      <c r="C470" s="10"/>
      <c r="D470" s="10"/>
    </row>
    <row r="471">
      <c r="A471" s="10"/>
      <c r="C471" s="10"/>
      <c r="D471" s="10"/>
    </row>
    <row r="472">
      <c r="A472" s="10"/>
      <c r="C472" s="10"/>
      <c r="D472" s="10"/>
    </row>
    <row r="473">
      <c r="A473" s="10"/>
      <c r="C473" s="10"/>
      <c r="D473" s="10"/>
    </row>
    <row r="474">
      <c r="A474" s="10"/>
      <c r="C474" s="10"/>
      <c r="D474" s="10"/>
    </row>
    <row r="475">
      <c r="A475" s="10"/>
      <c r="C475" s="10"/>
      <c r="D475" s="10"/>
    </row>
    <row r="476">
      <c r="A476" s="10"/>
      <c r="C476" s="10"/>
      <c r="D476" s="10"/>
    </row>
    <row r="477">
      <c r="A477" s="10"/>
      <c r="C477" s="10"/>
      <c r="D477" s="10"/>
    </row>
    <row r="478">
      <c r="A478" s="10"/>
      <c r="C478" s="10"/>
      <c r="D478" s="10"/>
    </row>
    <row r="479">
      <c r="A479" s="10"/>
      <c r="C479" s="10"/>
      <c r="D479" s="10"/>
    </row>
    <row r="480">
      <c r="A480" s="10"/>
      <c r="C480" s="10"/>
      <c r="D480" s="10"/>
    </row>
    <row r="481">
      <c r="A481" s="10"/>
      <c r="C481" s="10"/>
      <c r="D481" s="10"/>
    </row>
    <row r="482">
      <c r="A482" s="10"/>
      <c r="C482" s="10"/>
      <c r="D482" s="10"/>
    </row>
    <row r="483">
      <c r="A483" s="10"/>
      <c r="C483" s="10"/>
      <c r="D483" s="10"/>
    </row>
    <row r="484">
      <c r="A484" s="10"/>
      <c r="C484" s="10"/>
      <c r="D484" s="10"/>
    </row>
    <row r="485">
      <c r="A485" s="10"/>
      <c r="C485" s="10"/>
      <c r="D485" s="10"/>
    </row>
    <row r="486">
      <c r="A486" s="10"/>
      <c r="C486" s="10"/>
      <c r="D486" s="10"/>
    </row>
    <row r="487">
      <c r="A487" s="10"/>
      <c r="C487" s="10"/>
      <c r="D487" s="10"/>
    </row>
    <row r="488">
      <c r="A488" s="10"/>
      <c r="C488" s="10"/>
      <c r="D488" s="10"/>
    </row>
    <row r="489">
      <c r="A489" s="10"/>
      <c r="C489" s="10"/>
      <c r="D489" s="10"/>
    </row>
    <row r="490">
      <c r="A490" s="10"/>
      <c r="C490" s="10"/>
      <c r="D490" s="10"/>
    </row>
    <row r="491">
      <c r="A491" s="10"/>
      <c r="C491" s="10"/>
      <c r="D491" s="10"/>
    </row>
    <row r="492">
      <c r="A492" s="10"/>
      <c r="C492" s="10"/>
      <c r="D492" s="10"/>
    </row>
    <row r="493">
      <c r="A493" s="10"/>
      <c r="C493" s="10"/>
      <c r="D493" s="10"/>
    </row>
    <row r="494">
      <c r="A494" s="10"/>
      <c r="C494" s="10"/>
      <c r="D494" s="10"/>
    </row>
    <row r="495">
      <c r="A495" s="10"/>
      <c r="C495" s="10"/>
      <c r="D495" s="10"/>
    </row>
    <row r="496">
      <c r="A496" s="10"/>
      <c r="C496" s="10"/>
      <c r="D496" s="10"/>
    </row>
    <row r="497">
      <c r="A497" s="10"/>
      <c r="C497" s="10"/>
      <c r="D497" s="10"/>
    </row>
    <row r="498">
      <c r="A498" s="10"/>
      <c r="C498" s="10"/>
      <c r="D498" s="10"/>
    </row>
    <row r="499">
      <c r="A499" s="10"/>
      <c r="C499" s="10"/>
      <c r="D499" s="10"/>
    </row>
    <row r="500">
      <c r="A500" s="10"/>
      <c r="C500" s="10"/>
      <c r="D500" s="10"/>
    </row>
    <row r="501">
      <c r="A501" s="10"/>
      <c r="C501" s="10"/>
      <c r="D501" s="10"/>
    </row>
    <row r="502">
      <c r="A502" s="10"/>
      <c r="C502" s="10"/>
      <c r="D502" s="10"/>
    </row>
    <row r="503">
      <c r="A503" s="10"/>
      <c r="C503" s="10"/>
      <c r="D503" s="10"/>
    </row>
    <row r="504">
      <c r="A504" s="10"/>
      <c r="C504" s="10"/>
      <c r="D504" s="10"/>
    </row>
    <row r="505">
      <c r="A505" s="10"/>
      <c r="C505" s="10"/>
      <c r="D505" s="10"/>
    </row>
    <row r="506">
      <c r="A506" s="10"/>
      <c r="C506" s="10"/>
      <c r="D506" s="10"/>
    </row>
    <row r="507">
      <c r="A507" s="10"/>
      <c r="C507" s="10"/>
      <c r="D507" s="10"/>
    </row>
    <row r="508">
      <c r="A508" s="10"/>
      <c r="C508" s="10"/>
      <c r="D508" s="10"/>
    </row>
    <row r="509">
      <c r="A509" s="10"/>
      <c r="C509" s="10"/>
      <c r="D509" s="10"/>
    </row>
    <row r="510">
      <c r="A510" s="10"/>
      <c r="C510" s="10"/>
      <c r="D510" s="10"/>
    </row>
    <row r="511">
      <c r="A511" s="10"/>
      <c r="C511" s="10"/>
      <c r="D511" s="10"/>
    </row>
    <row r="512">
      <c r="A512" s="10"/>
      <c r="C512" s="10"/>
      <c r="D512" s="10"/>
    </row>
    <row r="513">
      <c r="A513" s="10"/>
      <c r="C513" s="10"/>
      <c r="D513" s="10"/>
    </row>
    <row r="514">
      <c r="A514" s="10"/>
      <c r="C514" s="10"/>
      <c r="D514" s="10"/>
    </row>
    <row r="515">
      <c r="A515" s="10"/>
      <c r="C515" s="10"/>
      <c r="D515" s="10"/>
    </row>
    <row r="516">
      <c r="A516" s="10"/>
      <c r="C516" s="10"/>
      <c r="D516" s="10"/>
    </row>
    <row r="517">
      <c r="A517" s="10"/>
      <c r="C517" s="10"/>
      <c r="D517" s="10"/>
    </row>
    <row r="518">
      <c r="A518" s="10"/>
      <c r="C518" s="10"/>
      <c r="D518" s="10"/>
    </row>
    <row r="519">
      <c r="A519" s="10"/>
      <c r="C519" s="10"/>
      <c r="D519" s="10"/>
    </row>
    <row r="520">
      <c r="A520" s="10"/>
      <c r="C520" s="10"/>
      <c r="D520" s="10"/>
    </row>
    <row r="521">
      <c r="A521" s="10"/>
      <c r="C521" s="10"/>
      <c r="D521" s="10"/>
    </row>
    <row r="522">
      <c r="A522" s="10"/>
      <c r="C522" s="10"/>
      <c r="D522" s="10"/>
    </row>
    <row r="523">
      <c r="A523" s="10"/>
      <c r="C523" s="10"/>
      <c r="D523" s="10"/>
    </row>
    <row r="524">
      <c r="A524" s="10"/>
      <c r="C524" s="10"/>
      <c r="D524" s="10"/>
    </row>
    <row r="525">
      <c r="A525" s="10"/>
      <c r="C525" s="10"/>
      <c r="D525" s="10"/>
    </row>
    <row r="526">
      <c r="A526" s="10"/>
      <c r="C526" s="10"/>
      <c r="D526" s="10"/>
    </row>
    <row r="527">
      <c r="A527" s="10"/>
      <c r="C527" s="10"/>
      <c r="D527" s="10"/>
    </row>
    <row r="528">
      <c r="A528" s="10"/>
      <c r="C528" s="10"/>
      <c r="D528" s="10"/>
    </row>
    <row r="529">
      <c r="A529" s="10"/>
      <c r="C529" s="10"/>
      <c r="D529" s="10"/>
    </row>
    <row r="530">
      <c r="A530" s="10"/>
      <c r="C530" s="10"/>
      <c r="D530" s="10"/>
    </row>
    <row r="531">
      <c r="A531" s="10"/>
      <c r="C531" s="10"/>
      <c r="D531" s="10"/>
    </row>
    <row r="532">
      <c r="A532" s="10"/>
      <c r="C532" s="10"/>
      <c r="D532" s="10"/>
    </row>
    <row r="533">
      <c r="A533" s="10"/>
      <c r="C533" s="10"/>
      <c r="D533" s="10"/>
    </row>
    <row r="534">
      <c r="A534" s="10"/>
      <c r="C534" s="10"/>
      <c r="D534" s="10"/>
    </row>
    <row r="535">
      <c r="A535" s="10"/>
      <c r="C535" s="10"/>
      <c r="D535" s="10"/>
    </row>
    <row r="536">
      <c r="A536" s="10"/>
      <c r="C536" s="10"/>
      <c r="D536" s="10"/>
    </row>
    <row r="537">
      <c r="A537" s="10"/>
      <c r="C537" s="10"/>
      <c r="D537" s="10"/>
    </row>
    <row r="538">
      <c r="A538" s="10"/>
      <c r="C538" s="10"/>
      <c r="D538" s="10"/>
    </row>
    <row r="539">
      <c r="A539" s="10"/>
      <c r="C539" s="10"/>
      <c r="D539" s="10"/>
    </row>
    <row r="540">
      <c r="A540" s="10"/>
      <c r="C540" s="10"/>
      <c r="D540" s="10"/>
    </row>
    <row r="541">
      <c r="A541" s="10"/>
      <c r="C541" s="10"/>
      <c r="D541" s="10"/>
    </row>
    <row r="542">
      <c r="A542" s="10"/>
      <c r="C542" s="10"/>
      <c r="D542" s="10"/>
    </row>
    <row r="543">
      <c r="A543" s="10"/>
      <c r="C543" s="10"/>
      <c r="D543" s="10"/>
    </row>
    <row r="544">
      <c r="A544" s="10"/>
      <c r="C544" s="10"/>
      <c r="D544" s="10"/>
    </row>
    <row r="545">
      <c r="A545" s="10"/>
      <c r="C545" s="10"/>
      <c r="D545" s="10"/>
    </row>
    <row r="546">
      <c r="A546" s="10"/>
      <c r="C546" s="10"/>
      <c r="D546" s="10"/>
    </row>
    <row r="547">
      <c r="A547" s="10"/>
      <c r="C547" s="10"/>
      <c r="D547" s="10"/>
    </row>
    <row r="548">
      <c r="A548" s="10"/>
      <c r="C548" s="10"/>
      <c r="D548" s="10"/>
    </row>
    <row r="549">
      <c r="A549" s="10"/>
      <c r="C549" s="10"/>
      <c r="D549" s="10"/>
    </row>
    <row r="550">
      <c r="A550" s="10"/>
      <c r="C550" s="10"/>
      <c r="D550" s="10"/>
    </row>
    <row r="551">
      <c r="A551" s="10"/>
      <c r="C551" s="10"/>
      <c r="D551" s="10"/>
    </row>
    <row r="552">
      <c r="A552" s="10"/>
      <c r="C552" s="10"/>
      <c r="D552" s="10"/>
    </row>
    <row r="553">
      <c r="A553" s="10"/>
      <c r="C553" s="10"/>
      <c r="D553" s="10"/>
    </row>
    <row r="554">
      <c r="A554" s="10"/>
      <c r="C554" s="10"/>
      <c r="D554" s="10"/>
    </row>
    <row r="555">
      <c r="A555" s="10"/>
      <c r="C555" s="10"/>
      <c r="D555" s="10"/>
    </row>
    <row r="556">
      <c r="A556" s="10"/>
      <c r="C556" s="10"/>
      <c r="D556" s="10"/>
    </row>
    <row r="557">
      <c r="A557" s="10"/>
      <c r="C557" s="10"/>
      <c r="D557" s="10"/>
    </row>
    <row r="558">
      <c r="A558" s="10"/>
      <c r="C558" s="10"/>
      <c r="D558" s="10"/>
    </row>
    <row r="559">
      <c r="A559" s="10"/>
      <c r="C559" s="10"/>
      <c r="D559" s="10"/>
    </row>
    <row r="560">
      <c r="A560" s="10"/>
      <c r="C560" s="10"/>
      <c r="D560" s="10"/>
    </row>
    <row r="561">
      <c r="A561" s="10"/>
      <c r="C561" s="10"/>
      <c r="D561" s="10"/>
    </row>
    <row r="562">
      <c r="A562" s="10"/>
      <c r="C562" s="10"/>
      <c r="D562" s="10"/>
    </row>
    <row r="563">
      <c r="A563" s="10"/>
      <c r="C563" s="10"/>
      <c r="D563" s="10"/>
    </row>
    <row r="564">
      <c r="A564" s="10"/>
      <c r="C564" s="10"/>
      <c r="D564" s="10"/>
    </row>
    <row r="565">
      <c r="A565" s="10"/>
      <c r="C565" s="10"/>
      <c r="D565" s="10"/>
    </row>
    <row r="566">
      <c r="A566" s="10"/>
      <c r="C566" s="10"/>
      <c r="D566" s="10"/>
    </row>
    <row r="567">
      <c r="A567" s="10"/>
      <c r="C567" s="10"/>
      <c r="D567" s="10"/>
    </row>
    <row r="568">
      <c r="A568" s="10"/>
      <c r="C568" s="10"/>
      <c r="D568" s="10"/>
    </row>
    <row r="569">
      <c r="A569" s="10"/>
      <c r="C569" s="10"/>
      <c r="D569" s="10"/>
    </row>
    <row r="570">
      <c r="A570" s="10"/>
      <c r="C570" s="10"/>
      <c r="D570" s="10"/>
    </row>
    <row r="571">
      <c r="A571" s="10"/>
      <c r="C571" s="10"/>
      <c r="D571" s="10"/>
    </row>
    <row r="572">
      <c r="A572" s="10"/>
      <c r="C572" s="10"/>
      <c r="D572" s="10"/>
    </row>
    <row r="573">
      <c r="A573" s="10"/>
      <c r="C573" s="10"/>
      <c r="D573" s="10"/>
    </row>
    <row r="574">
      <c r="A574" s="10"/>
      <c r="C574" s="10"/>
      <c r="D574" s="10"/>
    </row>
    <row r="575">
      <c r="A575" s="10"/>
      <c r="C575" s="10"/>
      <c r="D575" s="10"/>
    </row>
    <row r="576">
      <c r="A576" s="10"/>
      <c r="C576" s="10"/>
      <c r="D576" s="10"/>
    </row>
    <row r="577">
      <c r="A577" s="10"/>
      <c r="C577" s="10"/>
      <c r="D577" s="10"/>
    </row>
    <row r="578">
      <c r="A578" s="10"/>
      <c r="C578" s="10"/>
      <c r="D578" s="10"/>
    </row>
    <row r="579">
      <c r="A579" s="10"/>
      <c r="C579" s="10"/>
      <c r="D579" s="10"/>
    </row>
    <row r="580">
      <c r="A580" s="10"/>
      <c r="C580" s="10"/>
      <c r="D580" s="10"/>
    </row>
    <row r="581">
      <c r="A581" s="10"/>
      <c r="C581" s="10"/>
      <c r="D581" s="10"/>
    </row>
    <row r="582">
      <c r="A582" s="10"/>
      <c r="C582" s="10"/>
      <c r="D582" s="10"/>
    </row>
    <row r="583">
      <c r="A583" s="10"/>
      <c r="C583" s="10"/>
      <c r="D583" s="10"/>
    </row>
    <row r="584">
      <c r="A584" s="10"/>
      <c r="C584" s="10"/>
      <c r="D584" s="10"/>
    </row>
    <row r="585">
      <c r="A585" s="10"/>
      <c r="C585" s="10"/>
      <c r="D585" s="10"/>
    </row>
    <row r="586">
      <c r="A586" s="10"/>
      <c r="C586" s="10"/>
      <c r="D586" s="10"/>
    </row>
    <row r="587">
      <c r="A587" s="10"/>
      <c r="C587" s="10"/>
      <c r="D587" s="10"/>
    </row>
    <row r="588">
      <c r="A588" s="10"/>
      <c r="C588" s="10"/>
      <c r="D588" s="10"/>
    </row>
    <row r="589">
      <c r="A589" s="10"/>
      <c r="C589" s="10"/>
      <c r="D589" s="10"/>
    </row>
    <row r="590">
      <c r="A590" s="10"/>
      <c r="C590" s="10"/>
      <c r="D590" s="10"/>
    </row>
    <row r="591">
      <c r="A591" s="10"/>
      <c r="C591" s="10"/>
      <c r="D591" s="10"/>
    </row>
    <row r="592">
      <c r="A592" s="10"/>
      <c r="C592" s="10"/>
      <c r="D592" s="10"/>
    </row>
    <row r="593">
      <c r="A593" s="10"/>
      <c r="C593" s="10"/>
      <c r="D593" s="10"/>
    </row>
    <row r="594">
      <c r="A594" s="10"/>
      <c r="C594" s="10"/>
      <c r="D594" s="10"/>
    </row>
    <row r="595">
      <c r="A595" s="10"/>
      <c r="C595" s="10"/>
      <c r="D595" s="10"/>
    </row>
    <row r="596">
      <c r="A596" s="10"/>
      <c r="C596" s="10"/>
      <c r="D596" s="10"/>
    </row>
    <row r="597">
      <c r="A597" s="10"/>
      <c r="C597" s="10"/>
      <c r="D597" s="10"/>
    </row>
    <row r="598">
      <c r="A598" s="10"/>
      <c r="C598" s="10"/>
      <c r="D598" s="10"/>
    </row>
    <row r="599">
      <c r="A599" s="10"/>
      <c r="C599" s="10"/>
      <c r="D599" s="10"/>
    </row>
    <row r="600">
      <c r="A600" s="10"/>
      <c r="C600" s="10"/>
      <c r="D600" s="10"/>
    </row>
    <row r="601">
      <c r="A601" s="10"/>
      <c r="C601" s="10"/>
      <c r="D601" s="10"/>
    </row>
    <row r="602">
      <c r="A602" s="10"/>
      <c r="C602" s="10"/>
      <c r="D602" s="10"/>
    </row>
    <row r="603">
      <c r="A603" s="10"/>
      <c r="C603" s="10"/>
      <c r="D603" s="10"/>
    </row>
    <row r="604">
      <c r="A604" s="10"/>
      <c r="C604" s="10"/>
      <c r="D604" s="10"/>
    </row>
    <row r="605">
      <c r="A605" s="10"/>
      <c r="C605" s="10"/>
      <c r="D605" s="10"/>
    </row>
    <row r="606">
      <c r="A606" s="10"/>
      <c r="C606" s="10"/>
      <c r="D606" s="10"/>
    </row>
    <row r="607">
      <c r="A607" s="10"/>
      <c r="C607" s="10"/>
      <c r="D607" s="10"/>
    </row>
    <row r="608">
      <c r="A608" s="10"/>
      <c r="C608" s="10"/>
      <c r="D608" s="10"/>
    </row>
    <row r="609">
      <c r="A609" s="10"/>
      <c r="C609" s="10"/>
      <c r="D609" s="10"/>
    </row>
    <row r="610">
      <c r="A610" s="10"/>
      <c r="C610" s="10"/>
      <c r="D610" s="10"/>
    </row>
    <row r="611">
      <c r="A611" s="10"/>
      <c r="C611" s="10"/>
      <c r="D611" s="10"/>
    </row>
    <row r="612">
      <c r="A612" s="10"/>
      <c r="C612" s="10"/>
      <c r="D612" s="10"/>
    </row>
    <row r="613">
      <c r="A613" s="10"/>
      <c r="C613" s="10"/>
      <c r="D613" s="10"/>
    </row>
    <row r="614">
      <c r="A614" s="10"/>
      <c r="C614" s="10"/>
      <c r="D614" s="10"/>
    </row>
    <row r="615">
      <c r="A615" s="10"/>
      <c r="C615" s="10"/>
      <c r="D615" s="10"/>
    </row>
    <row r="616">
      <c r="A616" s="10"/>
      <c r="C616" s="10"/>
      <c r="D616" s="10"/>
    </row>
    <row r="617">
      <c r="A617" s="10"/>
      <c r="C617" s="10"/>
      <c r="D617" s="10"/>
    </row>
    <row r="618">
      <c r="A618" s="10"/>
      <c r="C618" s="10"/>
      <c r="D618" s="10"/>
    </row>
    <row r="619">
      <c r="A619" s="10"/>
      <c r="C619" s="10"/>
      <c r="D619" s="10"/>
    </row>
    <row r="620">
      <c r="A620" s="10"/>
      <c r="C620" s="10"/>
      <c r="D620" s="10"/>
    </row>
    <row r="621">
      <c r="A621" s="10"/>
      <c r="C621" s="10"/>
      <c r="D621" s="10"/>
    </row>
    <row r="622">
      <c r="A622" s="10"/>
      <c r="C622" s="10"/>
      <c r="D622" s="10"/>
    </row>
    <row r="623">
      <c r="A623" s="10"/>
      <c r="C623" s="10"/>
      <c r="D623" s="10"/>
    </row>
    <row r="624">
      <c r="A624" s="10"/>
      <c r="C624" s="10"/>
      <c r="D624" s="10"/>
    </row>
    <row r="625">
      <c r="A625" s="10"/>
      <c r="C625" s="10"/>
      <c r="D625" s="10"/>
    </row>
    <row r="626">
      <c r="A626" s="10"/>
      <c r="C626" s="10"/>
      <c r="D626" s="10"/>
    </row>
    <row r="627">
      <c r="A627" s="10"/>
      <c r="C627" s="10"/>
      <c r="D627" s="10"/>
    </row>
    <row r="628">
      <c r="A628" s="10"/>
      <c r="C628" s="10"/>
      <c r="D628" s="10"/>
    </row>
    <row r="629">
      <c r="A629" s="10"/>
      <c r="C629" s="10"/>
      <c r="D629" s="10"/>
    </row>
    <row r="630">
      <c r="A630" s="10"/>
      <c r="C630" s="10"/>
      <c r="D630" s="10"/>
    </row>
    <row r="631">
      <c r="A631" s="10"/>
      <c r="C631" s="10"/>
      <c r="D631" s="10"/>
    </row>
    <row r="632">
      <c r="A632" s="10"/>
      <c r="C632" s="10"/>
      <c r="D632" s="10"/>
    </row>
    <row r="633">
      <c r="A633" s="10"/>
      <c r="C633" s="10"/>
      <c r="D633" s="10"/>
    </row>
    <row r="634">
      <c r="A634" s="10"/>
      <c r="C634" s="10"/>
      <c r="D634" s="10"/>
    </row>
    <row r="635">
      <c r="A635" s="10"/>
      <c r="C635" s="10"/>
      <c r="D635" s="10"/>
    </row>
    <row r="636">
      <c r="A636" s="10"/>
      <c r="C636" s="10"/>
      <c r="D636" s="10"/>
    </row>
    <row r="637">
      <c r="A637" s="10"/>
      <c r="C637" s="10"/>
      <c r="D637" s="10"/>
    </row>
    <row r="638">
      <c r="A638" s="10"/>
      <c r="C638" s="10"/>
      <c r="D638" s="10"/>
    </row>
    <row r="639">
      <c r="A639" s="10"/>
      <c r="C639" s="10"/>
      <c r="D639" s="10"/>
    </row>
    <row r="640">
      <c r="A640" s="10"/>
      <c r="C640" s="10"/>
      <c r="D640" s="10"/>
    </row>
    <row r="641">
      <c r="A641" s="10"/>
      <c r="C641" s="10"/>
      <c r="D641" s="10"/>
    </row>
    <row r="642">
      <c r="A642" s="10"/>
      <c r="C642" s="10"/>
      <c r="D642" s="10"/>
    </row>
    <row r="643">
      <c r="A643" s="10"/>
      <c r="C643" s="10"/>
      <c r="D643" s="10"/>
    </row>
    <row r="644">
      <c r="A644" s="10"/>
      <c r="C644" s="10"/>
      <c r="D644" s="10"/>
    </row>
    <row r="645">
      <c r="A645" s="10"/>
      <c r="C645" s="10"/>
      <c r="D645" s="10"/>
    </row>
    <row r="646">
      <c r="A646" s="10"/>
      <c r="C646" s="10"/>
      <c r="D646" s="10"/>
    </row>
    <row r="647">
      <c r="A647" s="10"/>
      <c r="C647" s="10"/>
      <c r="D647" s="10"/>
    </row>
    <row r="648">
      <c r="A648" s="10"/>
      <c r="C648" s="10"/>
      <c r="D648" s="10"/>
    </row>
    <row r="649">
      <c r="A649" s="10"/>
      <c r="C649" s="10"/>
      <c r="D649" s="10"/>
    </row>
    <row r="650">
      <c r="A650" s="10"/>
      <c r="C650" s="10"/>
      <c r="D650" s="10"/>
    </row>
    <row r="651">
      <c r="A651" s="10"/>
      <c r="C651" s="10"/>
      <c r="D651" s="10"/>
    </row>
    <row r="652">
      <c r="A652" s="10"/>
      <c r="C652" s="10"/>
      <c r="D652" s="10"/>
    </row>
    <row r="653">
      <c r="A653" s="10"/>
      <c r="C653" s="10"/>
      <c r="D653" s="10"/>
    </row>
    <row r="654">
      <c r="A654" s="10"/>
      <c r="C654" s="10"/>
      <c r="D654" s="10"/>
    </row>
    <row r="655">
      <c r="A655" s="10"/>
      <c r="C655" s="10"/>
      <c r="D655" s="10"/>
    </row>
    <row r="656">
      <c r="A656" s="10"/>
      <c r="C656" s="10"/>
      <c r="D656" s="10"/>
    </row>
    <row r="657">
      <c r="A657" s="10"/>
      <c r="C657" s="10"/>
      <c r="D657" s="10"/>
    </row>
    <row r="658">
      <c r="A658" s="10"/>
      <c r="C658" s="10"/>
      <c r="D658" s="10"/>
    </row>
    <row r="659">
      <c r="A659" s="10"/>
      <c r="C659" s="10"/>
      <c r="D659" s="10"/>
    </row>
    <row r="660">
      <c r="A660" s="10"/>
      <c r="C660" s="10"/>
      <c r="D660" s="10"/>
    </row>
    <row r="661">
      <c r="A661" s="10"/>
      <c r="C661" s="10"/>
      <c r="D661" s="10"/>
    </row>
    <row r="662">
      <c r="A662" s="10"/>
      <c r="C662" s="10"/>
      <c r="D662" s="10"/>
    </row>
    <row r="663">
      <c r="A663" s="10"/>
      <c r="C663" s="10"/>
      <c r="D663" s="10"/>
    </row>
    <row r="664">
      <c r="A664" s="10"/>
      <c r="C664" s="10"/>
      <c r="D664" s="10"/>
    </row>
    <row r="665">
      <c r="A665" s="10"/>
      <c r="C665" s="10"/>
      <c r="D665" s="10"/>
    </row>
    <row r="666">
      <c r="A666" s="10"/>
      <c r="C666" s="10"/>
      <c r="D666" s="10"/>
    </row>
    <row r="667">
      <c r="A667" s="10"/>
      <c r="C667" s="10"/>
      <c r="D667" s="10"/>
    </row>
    <row r="668">
      <c r="A668" s="10"/>
      <c r="C668" s="10"/>
      <c r="D668" s="10"/>
    </row>
    <row r="669">
      <c r="A669" s="10"/>
      <c r="C669" s="10"/>
      <c r="D669" s="10"/>
    </row>
    <row r="670">
      <c r="A670" s="10"/>
      <c r="C670" s="10"/>
      <c r="D670" s="10"/>
    </row>
    <row r="671">
      <c r="A671" s="10"/>
      <c r="C671" s="10"/>
      <c r="D671" s="10"/>
    </row>
    <row r="672">
      <c r="A672" s="10"/>
      <c r="C672" s="10"/>
      <c r="D672" s="10"/>
    </row>
    <row r="673">
      <c r="A673" s="10"/>
      <c r="C673" s="10"/>
      <c r="D673" s="10"/>
    </row>
    <row r="674">
      <c r="A674" s="10"/>
      <c r="C674" s="10"/>
      <c r="D674" s="10"/>
    </row>
    <row r="675">
      <c r="A675" s="10"/>
      <c r="C675" s="10"/>
      <c r="D675" s="10"/>
    </row>
    <row r="676">
      <c r="A676" s="10"/>
      <c r="C676" s="10"/>
      <c r="D676" s="10"/>
    </row>
    <row r="677">
      <c r="A677" s="10"/>
      <c r="C677" s="10"/>
      <c r="D677" s="10"/>
    </row>
    <row r="678">
      <c r="A678" s="10"/>
      <c r="C678" s="10"/>
      <c r="D678" s="10"/>
    </row>
    <row r="679">
      <c r="A679" s="10"/>
      <c r="C679" s="10"/>
      <c r="D679" s="10"/>
    </row>
    <row r="680">
      <c r="A680" s="10"/>
      <c r="C680" s="10"/>
      <c r="D680" s="10"/>
    </row>
    <row r="681">
      <c r="A681" s="10"/>
      <c r="C681" s="10"/>
      <c r="D681" s="10"/>
    </row>
    <row r="682">
      <c r="A682" s="10"/>
      <c r="C682" s="10"/>
      <c r="D682" s="10"/>
    </row>
    <row r="683">
      <c r="A683" s="10"/>
      <c r="C683" s="10"/>
      <c r="D683" s="10"/>
    </row>
    <row r="684">
      <c r="A684" s="10"/>
      <c r="C684" s="10"/>
      <c r="D684" s="10"/>
    </row>
    <row r="685">
      <c r="A685" s="10"/>
      <c r="C685" s="10"/>
      <c r="D685" s="10"/>
    </row>
    <row r="686">
      <c r="A686" s="10"/>
      <c r="C686" s="10"/>
      <c r="D686" s="10"/>
    </row>
    <row r="687">
      <c r="A687" s="10"/>
      <c r="C687" s="10"/>
      <c r="D687" s="10"/>
    </row>
    <row r="688">
      <c r="A688" s="10"/>
      <c r="C688" s="10"/>
      <c r="D688" s="10"/>
    </row>
    <row r="689">
      <c r="A689" s="10"/>
      <c r="C689" s="10"/>
      <c r="D689" s="10"/>
    </row>
    <row r="690">
      <c r="A690" s="10"/>
      <c r="C690" s="10"/>
      <c r="D690" s="10"/>
    </row>
    <row r="691">
      <c r="A691" s="10"/>
      <c r="C691" s="10"/>
      <c r="D691" s="10"/>
    </row>
    <row r="692">
      <c r="A692" s="10"/>
      <c r="C692" s="10"/>
      <c r="D692" s="10"/>
    </row>
    <row r="693">
      <c r="A693" s="10"/>
      <c r="C693" s="10"/>
      <c r="D693" s="10"/>
    </row>
    <row r="694">
      <c r="A694" s="10"/>
      <c r="C694" s="10"/>
      <c r="D694" s="10"/>
    </row>
    <row r="695">
      <c r="A695" s="10"/>
      <c r="C695" s="10"/>
      <c r="D695" s="10"/>
    </row>
    <row r="696">
      <c r="A696" s="10"/>
      <c r="C696" s="10"/>
      <c r="D696" s="10"/>
    </row>
    <row r="697">
      <c r="A697" s="10"/>
      <c r="C697" s="10"/>
      <c r="D697" s="10"/>
    </row>
    <row r="698">
      <c r="A698" s="10"/>
      <c r="C698" s="10"/>
      <c r="D698" s="10"/>
    </row>
    <row r="699">
      <c r="A699" s="10"/>
      <c r="C699" s="10"/>
      <c r="D699" s="10"/>
    </row>
    <row r="700">
      <c r="A700" s="10"/>
      <c r="C700" s="10"/>
      <c r="D700" s="10"/>
    </row>
    <row r="701">
      <c r="A701" s="10"/>
      <c r="C701" s="10"/>
      <c r="D701" s="10"/>
    </row>
    <row r="702">
      <c r="A702" s="10"/>
      <c r="C702" s="10"/>
      <c r="D702" s="10"/>
    </row>
    <row r="703">
      <c r="A703" s="10"/>
      <c r="C703" s="10"/>
      <c r="D703" s="10"/>
    </row>
    <row r="704">
      <c r="A704" s="10"/>
      <c r="C704" s="10"/>
      <c r="D704" s="10"/>
    </row>
    <row r="705">
      <c r="A705" s="10"/>
      <c r="C705" s="10"/>
      <c r="D705" s="10"/>
    </row>
    <row r="706">
      <c r="A706" s="10"/>
      <c r="C706" s="10"/>
      <c r="D706" s="10"/>
    </row>
    <row r="707">
      <c r="A707" s="10"/>
      <c r="C707" s="10"/>
      <c r="D707" s="10"/>
    </row>
    <row r="708">
      <c r="A708" s="10"/>
      <c r="C708" s="10"/>
      <c r="D708" s="10"/>
    </row>
    <row r="709">
      <c r="A709" s="10"/>
      <c r="C709" s="10"/>
      <c r="D709" s="10"/>
    </row>
    <row r="710">
      <c r="A710" s="10"/>
      <c r="C710" s="10"/>
      <c r="D710" s="10"/>
    </row>
    <row r="711">
      <c r="A711" s="10"/>
      <c r="C711" s="10"/>
      <c r="D711" s="10"/>
    </row>
    <row r="712">
      <c r="A712" s="10"/>
      <c r="C712" s="10"/>
      <c r="D712" s="10"/>
    </row>
    <row r="713">
      <c r="A713" s="10"/>
      <c r="C713" s="10"/>
      <c r="D713" s="10"/>
    </row>
    <row r="714">
      <c r="A714" s="10"/>
      <c r="C714" s="10"/>
      <c r="D714" s="10"/>
    </row>
    <row r="715">
      <c r="A715" s="10"/>
      <c r="C715" s="10"/>
      <c r="D715" s="10"/>
    </row>
    <row r="716">
      <c r="A716" s="10"/>
      <c r="C716" s="10"/>
      <c r="D716" s="10"/>
    </row>
    <row r="717">
      <c r="A717" s="10"/>
      <c r="C717" s="10"/>
      <c r="D717" s="10"/>
    </row>
    <row r="718">
      <c r="A718" s="10"/>
      <c r="C718" s="10"/>
      <c r="D718" s="10"/>
    </row>
    <row r="719">
      <c r="A719" s="10"/>
      <c r="C719" s="10"/>
      <c r="D719" s="10"/>
    </row>
    <row r="720">
      <c r="A720" s="10"/>
      <c r="C720" s="10"/>
      <c r="D720" s="10"/>
    </row>
    <row r="721">
      <c r="A721" s="10"/>
      <c r="C721" s="10"/>
      <c r="D721" s="10"/>
    </row>
    <row r="722">
      <c r="A722" s="10"/>
      <c r="C722" s="10"/>
      <c r="D722" s="10"/>
    </row>
    <row r="723">
      <c r="A723" s="10"/>
      <c r="C723" s="10"/>
      <c r="D723" s="10"/>
    </row>
    <row r="724">
      <c r="A724" s="10"/>
      <c r="C724" s="10"/>
      <c r="D724" s="10"/>
    </row>
    <row r="725">
      <c r="A725" s="10"/>
      <c r="C725" s="10"/>
      <c r="D725" s="10"/>
    </row>
    <row r="726">
      <c r="A726" s="10"/>
      <c r="C726" s="10"/>
      <c r="D726" s="10"/>
    </row>
    <row r="727">
      <c r="A727" s="10"/>
      <c r="C727" s="10"/>
      <c r="D727" s="10"/>
    </row>
    <row r="728">
      <c r="A728" s="10"/>
      <c r="C728" s="10"/>
      <c r="D728" s="10"/>
    </row>
    <row r="729">
      <c r="A729" s="10"/>
      <c r="C729" s="10"/>
      <c r="D729" s="10"/>
    </row>
    <row r="730">
      <c r="A730" s="10"/>
      <c r="C730" s="10"/>
      <c r="D730" s="10"/>
    </row>
    <row r="731">
      <c r="A731" s="10"/>
      <c r="C731" s="10"/>
      <c r="D731" s="10"/>
    </row>
    <row r="732">
      <c r="A732" s="10"/>
      <c r="C732" s="10"/>
      <c r="D732" s="10"/>
    </row>
    <row r="733">
      <c r="A733" s="10"/>
      <c r="C733" s="10"/>
      <c r="D733" s="10"/>
    </row>
    <row r="734">
      <c r="A734" s="10"/>
      <c r="C734" s="10"/>
      <c r="D734" s="10"/>
    </row>
    <row r="735">
      <c r="A735" s="10"/>
      <c r="C735" s="10"/>
      <c r="D735" s="10"/>
    </row>
    <row r="736">
      <c r="A736" s="10"/>
      <c r="C736" s="10"/>
      <c r="D736" s="10"/>
    </row>
    <row r="737">
      <c r="A737" s="10"/>
      <c r="C737" s="10"/>
      <c r="D737" s="10"/>
    </row>
    <row r="738">
      <c r="A738" s="10"/>
      <c r="C738" s="10"/>
      <c r="D738" s="10"/>
    </row>
    <row r="739">
      <c r="A739" s="10"/>
      <c r="C739" s="10"/>
      <c r="D739" s="10"/>
    </row>
    <row r="740">
      <c r="A740" s="10"/>
      <c r="C740" s="10"/>
      <c r="D740" s="10"/>
    </row>
    <row r="741">
      <c r="A741" s="10"/>
      <c r="C741" s="10"/>
      <c r="D741" s="10"/>
    </row>
    <row r="742">
      <c r="A742" s="10"/>
      <c r="C742" s="10"/>
      <c r="D742" s="10"/>
    </row>
    <row r="743">
      <c r="A743" s="10"/>
      <c r="C743" s="10"/>
      <c r="D743" s="10"/>
    </row>
    <row r="744">
      <c r="A744" s="10"/>
      <c r="C744" s="10"/>
      <c r="D744" s="10"/>
    </row>
    <row r="745">
      <c r="A745" s="10"/>
      <c r="C745" s="10"/>
      <c r="D745" s="10"/>
    </row>
    <row r="746">
      <c r="A746" s="10"/>
      <c r="C746" s="10"/>
      <c r="D746" s="10"/>
    </row>
    <row r="747">
      <c r="A747" s="10"/>
      <c r="C747" s="10"/>
      <c r="D747" s="10"/>
    </row>
    <row r="748">
      <c r="A748" s="10"/>
      <c r="C748" s="10"/>
      <c r="D748" s="10"/>
    </row>
    <row r="749">
      <c r="A749" s="10"/>
      <c r="C749" s="10"/>
      <c r="D749" s="10"/>
    </row>
    <row r="750">
      <c r="A750" s="10"/>
      <c r="C750" s="10"/>
      <c r="D750" s="10"/>
    </row>
    <row r="751">
      <c r="A751" s="10"/>
      <c r="C751" s="10"/>
      <c r="D751" s="10"/>
    </row>
    <row r="752">
      <c r="A752" s="10"/>
      <c r="C752" s="10"/>
      <c r="D752" s="10"/>
    </row>
    <row r="753">
      <c r="A753" s="10"/>
      <c r="C753" s="10"/>
      <c r="D753" s="10"/>
    </row>
    <row r="754">
      <c r="A754" s="10"/>
      <c r="C754" s="10"/>
      <c r="D754" s="10"/>
    </row>
    <row r="755">
      <c r="A755" s="10"/>
      <c r="C755" s="10"/>
      <c r="D755" s="10"/>
    </row>
    <row r="756">
      <c r="A756" s="10"/>
      <c r="C756" s="10"/>
      <c r="D756" s="10"/>
    </row>
    <row r="757">
      <c r="A757" s="10"/>
      <c r="C757" s="10"/>
      <c r="D757" s="10"/>
    </row>
    <row r="758">
      <c r="A758" s="10"/>
      <c r="C758" s="10"/>
      <c r="D758" s="10"/>
    </row>
    <row r="759">
      <c r="A759" s="10"/>
      <c r="C759" s="10"/>
      <c r="D759" s="10"/>
    </row>
    <row r="760">
      <c r="A760" s="10"/>
      <c r="C760" s="10"/>
      <c r="D760" s="10"/>
    </row>
    <row r="761">
      <c r="A761" s="10"/>
      <c r="C761" s="10"/>
      <c r="D761" s="10"/>
    </row>
    <row r="762">
      <c r="A762" s="10"/>
      <c r="C762" s="10"/>
      <c r="D762" s="10"/>
    </row>
    <row r="763">
      <c r="A763" s="10"/>
      <c r="C763" s="10"/>
      <c r="D763" s="10"/>
    </row>
    <row r="764">
      <c r="A764" s="10"/>
      <c r="C764" s="10"/>
      <c r="D764" s="10"/>
    </row>
    <row r="765">
      <c r="A765" s="10"/>
      <c r="C765" s="10"/>
      <c r="D765" s="10"/>
    </row>
    <row r="766">
      <c r="A766" s="10"/>
      <c r="C766" s="10"/>
      <c r="D766" s="10"/>
    </row>
    <row r="767">
      <c r="A767" s="10"/>
      <c r="C767" s="10"/>
      <c r="D767" s="10"/>
    </row>
    <row r="768">
      <c r="A768" s="10"/>
      <c r="C768" s="10"/>
      <c r="D768" s="10"/>
    </row>
    <row r="769">
      <c r="A769" s="10"/>
      <c r="C769" s="10"/>
      <c r="D769" s="10"/>
    </row>
    <row r="770">
      <c r="A770" s="10"/>
      <c r="C770" s="10"/>
      <c r="D770" s="10"/>
    </row>
    <row r="771">
      <c r="A771" s="10"/>
      <c r="C771" s="10"/>
      <c r="D771" s="10"/>
    </row>
    <row r="772">
      <c r="A772" s="10"/>
      <c r="C772" s="10"/>
      <c r="D772" s="10"/>
    </row>
    <row r="773">
      <c r="A773" s="10"/>
      <c r="C773" s="10"/>
      <c r="D773" s="10"/>
    </row>
    <row r="774">
      <c r="A774" s="10"/>
      <c r="C774" s="10"/>
      <c r="D774" s="10"/>
    </row>
    <row r="775">
      <c r="A775" s="10"/>
      <c r="C775" s="10"/>
      <c r="D775" s="10"/>
    </row>
    <row r="776">
      <c r="A776" s="10"/>
      <c r="C776" s="10"/>
      <c r="D776" s="10"/>
    </row>
    <row r="777">
      <c r="A777" s="10"/>
      <c r="C777" s="10"/>
      <c r="D777" s="10"/>
    </row>
    <row r="778">
      <c r="A778" s="10"/>
      <c r="C778" s="10"/>
      <c r="D778" s="10"/>
    </row>
    <row r="779">
      <c r="A779" s="10"/>
      <c r="C779" s="10"/>
      <c r="D779" s="10"/>
    </row>
    <row r="780">
      <c r="A780" s="10"/>
      <c r="C780" s="10"/>
      <c r="D780" s="10"/>
    </row>
    <row r="781">
      <c r="A781" s="10"/>
      <c r="C781" s="10"/>
      <c r="D781" s="10"/>
    </row>
    <row r="782">
      <c r="A782" s="10"/>
      <c r="C782" s="10"/>
      <c r="D782" s="10"/>
    </row>
    <row r="783">
      <c r="A783" s="10"/>
      <c r="C783" s="10"/>
      <c r="D783" s="10"/>
    </row>
    <row r="784">
      <c r="A784" s="10"/>
      <c r="C784" s="10"/>
      <c r="D784" s="10"/>
    </row>
    <row r="785">
      <c r="A785" s="10"/>
      <c r="C785" s="10"/>
      <c r="D785" s="10"/>
    </row>
    <row r="786">
      <c r="A786" s="10"/>
      <c r="C786" s="10"/>
      <c r="D786" s="10"/>
    </row>
    <row r="787">
      <c r="A787" s="10"/>
      <c r="C787" s="10"/>
      <c r="D787" s="10"/>
    </row>
    <row r="788">
      <c r="A788" s="10"/>
      <c r="C788" s="10"/>
      <c r="D788" s="10"/>
    </row>
    <row r="789">
      <c r="A789" s="10"/>
      <c r="C789" s="10"/>
      <c r="D789" s="10"/>
    </row>
    <row r="790">
      <c r="A790" s="10"/>
      <c r="C790" s="10"/>
      <c r="D790" s="10"/>
    </row>
    <row r="791">
      <c r="A791" s="10"/>
      <c r="C791" s="10"/>
      <c r="D791" s="10"/>
    </row>
    <row r="792">
      <c r="A792" s="10"/>
      <c r="C792" s="10"/>
      <c r="D792" s="10"/>
    </row>
    <row r="793">
      <c r="A793" s="10"/>
      <c r="C793" s="10"/>
      <c r="D793" s="10"/>
    </row>
    <row r="794">
      <c r="A794" s="10"/>
      <c r="C794" s="10"/>
      <c r="D794" s="10"/>
    </row>
    <row r="795">
      <c r="A795" s="10"/>
      <c r="C795" s="10"/>
      <c r="D795" s="10"/>
    </row>
    <row r="796">
      <c r="A796" s="10"/>
      <c r="C796" s="10"/>
      <c r="D796" s="10"/>
    </row>
    <row r="797">
      <c r="A797" s="10"/>
      <c r="C797" s="10"/>
      <c r="D797" s="10"/>
    </row>
    <row r="798">
      <c r="A798" s="10"/>
      <c r="C798" s="10"/>
      <c r="D798" s="10"/>
    </row>
    <row r="799">
      <c r="A799" s="10"/>
      <c r="C799" s="10"/>
      <c r="D799" s="10"/>
    </row>
    <row r="800">
      <c r="A800" s="10"/>
      <c r="C800" s="10"/>
      <c r="D800" s="10"/>
    </row>
    <row r="801">
      <c r="A801" s="10"/>
      <c r="C801" s="10"/>
      <c r="D801" s="10"/>
    </row>
    <row r="802">
      <c r="A802" s="10"/>
      <c r="C802" s="10"/>
      <c r="D802" s="10"/>
    </row>
    <row r="803">
      <c r="A803" s="10"/>
      <c r="C803" s="10"/>
      <c r="D803" s="10"/>
    </row>
    <row r="804">
      <c r="A804" s="10"/>
      <c r="C804" s="10"/>
      <c r="D804" s="10"/>
    </row>
    <row r="805">
      <c r="A805" s="10"/>
      <c r="C805" s="10"/>
      <c r="D805" s="10"/>
    </row>
    <row r="806">
      <c r="A806" s="10"/>
      <c r="C806" s="10"/>
      <c r="D806" s="10"/>
    </row>
    <row r="807">
      <c r="A807" s="10"/>
      <c r="C807" s="10"/>
      <c r="D807" s="10"/>
    </row>
    <row r="808">
      <c r="A808" s="10"/>
      <c r="C808" s="10"/>
      <c r="D808" s="10"/>
    </row>
    <row r="809">
      <c r="A809" s="10"/>
      <c r="C809" s="10"/>
      <c r="D809" s="10"/>
    </row>
    <row r="810">
      <c r="A810" s="10"/>
      <c r="C810" s="10"/>
      <c r="D810" s="10"/>
    </row>
    <row r="811">
      <c r="A811" s="10"/>
      <c r="C811" s="10"/>
      <c r="D811" s="10"/>
    </row>
    <row r="812">
      <c r="A812" s="10"/>
      <c r="C812" s="10"/>
      <c r="D812" s="10"/>
    </row>
    <row r="813">
      <c r="A813" s="10"/>
      <c r="C813" s="10"/>
      <c r="D813" s="10"/>
    </row>
    <row r="814">
      <c r="A814" s="10"/>
      <c r="C814" s="10"/>
      <c r="D814" s="10"/>
    </row>
    <row r="815">
      <c r="A815" s="10"/>
      <c r="C815" s="10"/>
      <c r="D815" s="10"/>
    </row>
    <row r="816">
      <c r="A816" s="10"/>
      <c r="C816" s="10"/>
      <c r="D816" s="10"/>
    </row>
    <row r="817">
      <c r="A817" s="10"/>
      <c r="C817" s="10"/>
      <c r="D817" s="10"/>
    </row>
    <row r="818">
      <c r="A818" s="10"/>
      <c r="C818" s="10"/>
      <c r="D818" s="10"/>
    </row>
    <row r="819">
      <c r="A819" s="10"/>
      <c r="C819" s="10"/>
      <c r="D819" s="10"/>
    </row>
    <row r="820">
      <c r="A820" s="10"/>
      <c r="C820" s="10"/>
      <c r="D820" s="10"/>
    </row>
    <row r="821">
      <c r="A821" s="10"/>
      <c r="C821" s="10"/>
      <c r="D821" s="10"/>
    </row>
    <row r="822">
      <c r="A822" s="10"/>
      <c r="C822" s="10"/>
      <c r="D822" s="10"/>
    </row>
    <row r="823">
      <c r="A823" s="10"/>
      <c r="C823" s="10"/>
      <c r="D823" s="10"/>
    </row>
    <row r="824">
      <c r="A824" s="10"/>
      <c r="C824" s="10"/>
      <c r="D824" s="10"/>
    </row>
    <row r="825">
      <c r="A825" s="10"/>
      <c r="C825" s="10"/>
      <c r="D825" s="10"/>
    </row>
    <row r="826">
      <c r="A826" s="10"/>
      <c r="C826" s="10"/>
      <c r="D826" s="10"/>
    </row>
    <row r="827">
      <c r="A827" s="10"/>
      <c r="C827" s="10"/>
      <c r="D827" s="10"/>
    </row>
    <row r="828">
      <c r="A828" s="10"/>
      <c r="C828" s="10"/>
      <c r="D828" s="10"/>
    </row>
    <row r="829">
      <c r="A829" s="10"/>
      <c r="C829" s="10"/>
      <c r="D829" s="10"/>
    </row>
    <row r="830">
      <c r="A830" s="10"/>
      <c r="C830" s="10"/>
      <c r="D830" s="10"/>
    </row>
    <row r="831">
      <c r="A831" s="10"/>
      <c r="C831" s="10"/>
      <c r="D831" s="10"/>
    </row>
    <row r="832">
      <c r="A832" s="10"/>
      <c r="C832" s="10"/>
      <c r="D832" s="10"/>
    </row>
    <row r="833">
      <c r="A833" s="10"/>
      <c r="C833" s="10"/>
      <c r="D833" s="10"/>
    </row>
    <row r="834">
      <c r="A834" s="10"/>
      <c r="C834" s="10"/>
      <c r="D834" s="10"/>
    </row>
    <row r="835">
      <c r="A835" s="10"/>
      <c r="C835" s="10"/>
      <c r="D835" s="10"/>
    </row>
    <row r="836">
      <c r="A836" s="10"/>
      <c r="C836" s="10"/>
      <c r="D836" s="10"/>
    </row>
    <row r="837">
      <c r="A837" s="10"/>
      <c r="C837" s="10"/>
      <c r="D837" s="10"/>
    </row>
    <row r="838">
      <c r="A838" s="10"/>
      <c r="C838" s="10"/>
      <c r="D838" s="10"/>
    </row>
    <row r="839">
      <c r="A839" s="10"/>
      <c r="C839" s="10"/>
      <c r="D839" s="10"/>
    </row>
    <row r="840">
      <c r="A840" s="10"/>
      <c r="C840" s="10"/>
      <c r="D840" s="10"/>
    </row>
    <row r="841">
      <c r="A841" s="10"/>
      <c r="C841" s="10"/>
      <c r="D841" s="10"/>
    </row>
    <row r="842">
      <c r="A842" s="10"/>
      <c r="C842" s="10"/>
      <c r="D842" s="10"/>
    </row>
    <row r="843">
      <c r="A843" s="10"/>
      <c r="C843" s="10"/>
      <c r="D843" s="10"/>
    </row>
    <row r="844">
      <c r="A844" s="10"/>
      <c r="C844" s="10"/>
      <c r="D844" s="10"/>
    </row>
    <row r="845">
      <c r="A845" s="10"/>
      <c r="C845" s="10"/>
      <c r="D845" s="10"/>
    </row>
    <row r="846">
      <c r="A846" s="10"/>
      <c r="C846" s="10"/>
      <c r="D846" s="10"/>
    </row>
    <row r="847">
      <c r="A847" s="10"/>
      <c r="C847" s="10"/>
      <c r="D847" s="10"/>
    </row>
    <row r="848">
      <c r="A848" s="10"/>
      <c r="C848" s="10"/>
      <c r="D848" s="10"/>
    </row>
    <row r="849">
      <c r="A849" s="10"/>
      <c r="C849" s="10"/>
      <c r="D849" s="10"/>
    </row>
    <row r="850">
      <c r="A850" s="10"/>
      <c r="C850" s="10"/>
      <c r="D850" s="10"/>
    </row>
    <row r="851">
      <c r="A851" s="10"/>
      <c r="C851" s="10"/>
      <c r="D851" s="10"/>
    </row>
    <row r="852">
      <c r="A852" s="10"/>
      <c r="C852" s="10"/>
      <c r="D852" s="10"/>
    </row>
    <row r="853">
      <c r="A853" s="10"/>
      <c r="C853" s="10"/>
      <c r="D853" s="10"/>
    </row>
    <row r="854">
      <c r="A854" s="10"/>
      <c r="C854" s="10"/>
      <c r="D854" s="10"/>
    </row>
    <row r="855">
      <c r="A855" s="10"/>
      <c r="C855" s="10"/>
      <c r="D855" s="10"/>
    </row>
    <row r="856">
      <c r="A856" s="10"/>
      <c r="C856" s="10"/>
      <c r="D856" s="10"/>
    </row>
    <row r="857">
      <c r="A857" s="10"/>
      <c r="C857" s="10"/>
      <c r="D857" s="10"/>
    </row>
    <row r="858">
      <c r="A858" s="10"/>
      <c r="C858" s="10"/>
      <c r="D858" s="10"/>
    </row>
    <row r="859">
      <c r="A859" s="10"/>
      <c r="C859" s="10"/>
      <c r="D859" s="10"/>
    </row>
    <row r="860">
      <c r="A860" s="10"/>
      <c r="C860" s="10"/>
      <c r="D860" s="10"/>
    </row>
    <row r="861">
      <c r="A861" s="10"/>
      <c r="C861" s="10"/>
      <c r="D861" s="10"/>
    </row>
    <row r="862">
      <c r="A862" s="10"/>
      <c r="C862" s="10"/>
      <c r="D862" s="10"/>
    </row>
    <row r="863">
      <c r="A863" s="10"/>
      <c r="C863" s="10"/>
      <c r="D863" s="10"/>
    </row>
    <row r="864">
      <c r="A864" s="10"/>
      <c r="C864" s="10"/>
      <c r="D864" s="10"/>
    </row>
    <row r="865">
      <c r="A865" s="10"/>
      <c r="C865" s="10"/>
      <c r="D865" s="10"/>
    </row>
    <row r="866">
      <c r="A866" s="10"/>
      <c r="C866" s="10"/>
      <c r="D866" s="10"/>
    </row>
    <row r="867">
      <c r="A867" s="10"/>
      <c r="C867" s="10"/>
      <c r="D867" s="10"/>
    </row>
    <row r="868">
      <c r="A868" s="10"/>
      <c r="C868" s="10"/>
      <c r="D868" s="10"/>
    </row>
    <row r="869">
      <c r="A869" s="10"/>
      <c r="C869" s="10"/>
      <c r="D869" s="10"/>
    </row>
    <row r="870">
      <c r="A870" s="10"/>
      <c r="C870" s="10"/>
      <c r="D870" s="10"/>
    </row>
    <row r="871">
      <c r="A871" s="10"/>
      <c r="C871" s="10"/>
      <c r="D871" s="10"/>
    </row>
    <row r="872">
      <c r="A872" s="10"/>
      <c r="C872" s="10"/>
      <c r="D872" s="10"/>
    </row>
    <row r="873">
      <c r="A873" s="10"/>
      <c r="C873" s="10"/>
      <c r="D873" s="10"/>
    </row>
    <row r="874">
      <c r="A874" s="10"/>
      <c r="C874" s="10"/>
      <c r="D874" s="10"/>
    </row>
    <row r="875">
      <c r="A875" s="10"/>
      <c r="C875" s="10"/>
      <c r="D875" s="10"/>
    </row>
    <row r="876">
      <c r="A876" s="10"/>
      <c r="C876" s="10"/>
      <c r="D876" s="10"/>
    </row>
    <row r="877">
      <c r="A877" s="10"/>
      <c r="C877" s="10"/>
      <c r="D877" s="10"/>
    </row>
    <row r="878">
      <c r="A878" s="10"/>
      <c r="C878" s="10"/>
      <c r="D878" s="10"/>
    </row>
    <row r="879">
      <c r="A879" s="10"/>
      <c r="C879" s="10"/>
      <c r="D879" s="10"/>
    </row>
    <row r="880">
      <c r="A880" s="10"/>
      <c r="C880" s="10"/>
      <c r="D880" s="10"/>
    </row>
    <row r="881">
      <c r="A881" s="10"/>
      <c r="C881" s="10"/>
      <c r="D881" s="10"/>
    </row>
    <row r="882">
      <c r="A882" s="10"/>
      <c r="C882" s="10"/>
      <c r="D882" s="10"/>
    </row>
    <row r="883">
      <c r="A883" s="10"/>
      <c r="C883" s="10"/>
      <c r="D883" s="10"/>
    </row>
    <row r="884">
      <c r="A884" s="10"/>
      <c r="C884" s="10"/>
      <c r="D884" s="10"/>
    </row>
    <row r="885">
      <c r="A885" s="10"/>
      <c r="C885" s="10"/>
      <c r="D885" s="10"/>
    </row>
    <row r="886">
      <c r="A886" s="10"/>
      <c r="C886" s="10"/>
      <c r="D886" s="10"/>
    </row>
    <row r="887">
      <c r="A887" s="10"/>
      <c r="C887" s="10"/>
      <c r="D887" s="10"/>
    </row>
    <row r="888">
      <c r="A888" s="10"/>
      <c r="C888" s="10"/>
      <c r="D888" s="10"/>
    </row>
    <row r="889">
      <c r="A889" s="10"/>
      <c r="C889" s="10"/>
      <c r="D889" s="10"/>
    </row>
    <row r="890">
      <c r="A890" s="10"/>
      <c r="C890" s="10"/>
      <c r="D890" s="10"/>
    </row>
    <row r="891">
      <c r="A891" s="10"/>
      <c r="C891" s="10"/>
      <c r="D891" s="10"/>
    </row>
    <row r="892">
      <c r="A892" s="10"/>
      <c r="C892" s="10"/>
      <c r="D892" s="10"/>
    </row>
    <row r="893">
      <c r="A893" s="10"/>
      <c r="C893" s="10"/>
      <c r="D893" s="10"/>
    </row>
    <row r="894">
      <c r="A894" s="10"/>
      <c r="C894" s="10"/>
      <c r="D894" s="10"/>
    </row>
    <row r="895">
      <c r="A895" s="10"/>
      <c r="C895" s="10"/>
      <c r="D895" s="10"/>
    </row>
    <row r="896">
      <c r="A896" s="10"/>
      <c r="C896" s="10"/>
      <c r="D896" s="10"/>
    </row>
    <row r="897">
      <c r="A897" s="10"/>
      <c r="C897" s="10"/>
      <c r="D897" s="10"/>
    </row>
    <row r="898">
      <c r="A898" s="10"/>
      <c r="C898" s="10"/>
      <c r="D898" s="10"/>
    </row>
    <row r="899">
      <c r="A899" s="10"/>
      <c r="C899" s="10"/>
      <c r="D899" s="10"/>
    </row>
    <row r="900">
      <c r="A900" s="10"/>
      <c r="C900" s="10"/>
      <c r="D900" s="10"/>
    </row>
    <row r="901">
      <c r="A901" s="10"/>
      <c r="C901" s="10"/>
      <c r="D901" s="10"/>
    </row>
    <row r="902">
      <c r="A902" s="10"/>
      <c r="C902" s="10"/>
      <c r="D902" s="10"/>
    </row>
    <row r="903">
      <c r="A903" s="10"/>
      <c r="C903" s="10"/>
      <c r="D903" s="10"/>
    </row>
    <row r="904">
      <c r="A904" s="10"/>
      <c r="C904" s="10"/>
      <c r="D904" s="10"/>
    </row>
    <row r="905">
      <c r="A905" s="10"/>
      <c r="C905" s="10"/>
      <c r="D905" s="10"/>
    </row>
    <row r="906">
      <c r="A906" s="10"/>
      <c r="C906" s="10"/>
      <c r="D906" s="10"/>
    </row>
    <row r="907">
      <c r="A907" s="10"/>
      <c r="C907" s="10"/>
      <c r="D907" s="10"/>
    </row>
    <row r="908">
      <c r="A908" s="10"/>
      <c r="C908" s="10"/>
      <c r="D908" s="10"/>
    </row>
    <row r="909">
      <c r="A909" s="10"/>
      <c r="C909" s="10"/>
      <c r="D909" s="10"/>
    </row>
    <row r="910">
      <c r="A910" s="10"/>
      <c r="C910" s="10"/>
      <c r="D910" s="10"/>
    </row>
    <row r="911">
      <c r="A911" s="10"/>
      <c r="C911" s="10"/>
      <c r="D911" s="10"/>
    </row>
    <row r="912">
      <c r="A912" s="10"/>
      <c r="C912" s="10"/>
      <c r="D912" s="10"/>
    </row>
    <row r="913">
      <c r="A913" s="10"/>
      <c r="C913" s="10"/>
      <c r="D913" s="10"/>
    </row>
    <row r="914">
      <c r="A914" s="10"/>
      <c r="C914" s="10"/>
      <c r="D914" s="10"/>
    </row>
    <row r="915">
      <c r="A915" s="10"/>
      <c r="C915" s="10"/>
      <c r="D915" s="10"/>
    </row>
    <row r="916">
      <c r="A916" s="10"/>
      <c r="C916" s="10"/>
      <c r="D916" s="10"/>
    </row>
    <row r="917">
      <c r="A917" s="10"/>
      <c r="C917" s="10"/>
      <c r="D917" s="10"/>
    </row>
    <row r="918">
      <c r="A918" s="10"/>
      <c r="C918" s="10"/>
      <c r="D918" s="10"/>
    </row>
    <row r="919">
      <c r="A919" s="10"/>
      <c r="C919" s="10"/>
      <c r="D919" s="10"/>
    </row>
    <row r="920">
      <c r="A920" s="10"/>
      <c r="C920" s="10"/>
      <c r="D920" s="10"/>
    </row>
    <row r="921">
      <c r="A921" s="10"/>
      <c r="C921" s="10"/>
      <c r="D921" s="10"/>
    </row>
    <row r="922">
      <c r="A922" s="10"/>
      <c r="C922" s="10"/>
      <c r="D922" s="10"/>
    </row>
    <row r="923">
      <c r="A923" s="10"/>
      <c r="C923" s="10"/>
      <c r="D923" s="10"/>
    </row>
    <row r="924">
      <c r="A924" s="10"/>
      <c r="C924" s="10"/>
      <c r="D924" s="10"/>
    </row>
    <row r="925">
      <c r="A925" s="10"/>
      <c r="C925" s="10"/>
      <c r="D925" s="10"/>
    </row>
    <row r="926">
      <c r="A926" s="10"/>
      <c r="C926" s="10"/>
      <c r="D926" s="10"/>
    </row>
    <row r="927">
      <c r="A927" s="10"/>
      <c r="C927" s="10"/>
      <c r="D927" s="10"/>
    </row>
    <row r="928">
      <c r="A928" s="10"/>
      <c r="C928" s="10"/>
      <c r="D928" s="10"/>
    </row>
    <row r="929">
      <c r="A929" s="10"/>
      <c r="C929" s="10"/>
      <c r="D929" s="10"/>
    </row>
    <row r="930">
      <c r="A930" s="10"/>
      <c r="C930" s="10"/>
      <c r="D930" s="10"/>
    </row>
    <row r="931">
      <c r="A931" s="10"/>
      <c r="C931" s="10"/>
      <c r="D931" s="10"/>
    </row>
    <row r="932">
      <c r="A932" s="10"/>
      <c r="C932" s="10"/>
      <c r="D932" s="10"/>
    </row>
    <row r="933">
      <c r="A933" s="10"/>
      <c r="C933" s="10"/>
      <c r="D933" s="10"/>
    </row>
    <row r="934">
      <c r="A934" s="10"/>
      <c r="C934" s="10"/>
      <c r="D934" s="10"/>
    </row>
    <row r="935">
      <c r="A935" s="10"/>
      <c r="C935" s="10"/>
      <c r="D935" s="10"/>
    </row>
    <row r="936">
      <c r="A936" s="10"/>
      <c r="C936" s="10"/>
      <c r="D936" s="10"/>
    </row>
    <row r="937">
      <c r="A937" s="10"/>
      <c r="C937" s="10"/>
      <c r="D937" s="10"/>
    </row>
    <row r="938">
      <c r="A938" s="10"/>
      <c r="C938" s="10"/>
      <c r="D938" s="10"/>
    </row>
    <row r="939">
      <c r="A939" s="10"/>
      <c r="C939" s="10"/>
      <c r="D939" s="10"/>
    </row>
    <row r="940">
      <c r="A940" s="10"/>
      <c r="C940" s="10"/>
      <c r="D940" s="10"/>
    </row>
    <row r="941">
      <c r="A941" s="10"/>
      <c r="C941" s="10"/>
      <c r="D941" s="10"/>
    </row>
    <row r="942">
      <c r="A942" s="10"/>
      <c r="C942" s="10"/>
      <c r="D942" s="10"/>
    </row>
    <row r="943">
      <c r="A943" s="10"/>
      <c r="C943" s="10"/>
      <c r="D943" s="10"/>
    </row>
    <row r="944">
      <c r="A944" s="10"/>
      <c r="C944" s="10"/>
      <c r="D944" s="10"/>
    </row>
    <row r="945">
      <c r="A945" s="10"/>
      <c r="C945" s="10"/>
      <c r="D945" s="10"/>
    </row>
    <row r="946">
      <c r="A946" s="10"/>
      <c r="C946" s="10"/>
      <c r="D946" s="10"/>
    </row>
    <row r="947">
      <c r="A947" s="10"/>
      <c r="C947" s="10"/>
      <c r="D947" s="10"/>
    </row>
    <row r="948">
      <c r="A948" s="10"/>
      <c r="C948" s="10"/>
      <c r="D948" s="10"/>
    </row>
    <row r="949">
      <c r="A949" s="10"/>
      <c r="C949" s="10"/>
      <c r="D949" s="10"/>
    </row>
    <row r="950">
      <c r="A950" s="10"/>
      <c r="C950" s="10"/>
      <c r="D950" s="10"/>
    </row>
    <row r="951">
      <c r="A951" s="10"/>
      <c r="C951" s="10"/>
      <c r="D951" s="10"/>
    </row>
    <row r="952">
      <c r="A952" s="10"/>
      <c r="C952" s="10"/>
      <c r="D952" s="10"/>
    </row>
    <row r="953">
      <c r="A953" s="10"/>
      <c r="C953" s="10"/>
      <c r="D953" s="10"/>
    </row>
    <row r="954">
      <c r="A954" s="10"/>
      <c r="C954" s="10"/>
      <c r="D954" s="10"/>
    </row>
    <row r="955">
      <c r="A955" s="10"/>
      <c r="C955" s="10"/>
      <c r="D955" s="10"/>
    </row>
    <row r="956">
      <c r="A956" s="10"/>
      <c r="C956" s="10"/>
      <c r="D956" s="10"/>
    </row>
    <row r="957">
      <c r="A957" s="10"/>
      <c r="C957" s="10"/>
      <c r="D957" s="10"/>
    </row>
    <row r="958">
      <c r="A958" s="10"/>
      <c r="C958" s="10"/>
      <c r="D958" s="10"/>
    </row>
    <row r="959">
      <c r="A959" s="10"/>
      <c r="C959" s="10"/>
      <c r="D959" s="10"/>
    </row>
    <row r="960">
      <c r="A960" s="10"/>
      <c r="C960" s="10"/>
      <c r="D960" s="10"/>
    </row>
    <row r="961">
      <c r="A961" s="10"/>
      <c r="C961" s="10"/>
      <c r="D961" s="10"/>
    </row>
    <row r="962">
      <c r="A962" s="10"/>
      <c r="C962" s="10"/>
      <c r="D962" s="10"/>
    </row>
    <row r="963">
      <c r="A963" s="10"/>
      <c r="C963" s="10"/>
      <c r="D963" s="10"/>
    </row>
    <row r="964">
      <c r="A964" s="10"/>
      <c r="C964" s="10"/>
      <c r="D964" s="10"/>
    </row>
    <row r="965">
      <c r="A965" s="10"/>
      <c r="C965" s="10"/>
      <c r="D965" s="10"/>
    </row>
    <row r="966">
      <c r="A966" s="10"/>
      <c r="C966" s="10"/>
      <c r="D966" s="10"/>
    </row>
    <row r="967">
      <c r="A967" s="10"/>
      <c r="C967" s="10"/>
      <c r="D967" s="10"/>
    </row>
    <row r="968">
      <c r="A968" s="10"/>
      <c r="C968" s="10"/>
      <c r="D968" s="10"/>
    </row>
    <row r="969">
      <c r="A969" s="10"/>
      <c r="C969" s="10"/>
      <c r="D969" s="10"/>
    </row>
    <row r="970">
      <c r="A970" s="10"/>
      <c r="C970" s="10"/>
      <c r="D970" s="10"/>
    </row>
    <row r="971">
      <c r="A971" s="10"/>
      <c r="C971" s="10"/>
      <c r="D971" s="10"/>
    </row>
    <row r="972">
      <c r="A972" s="10"/>
      <c r="C972" s="10"/>
      <c r="D972" s="10"/>
    </row>
    <row r="973">
      <c r="A973" s="10"/>
      <c r="C973" s="10"/>
      <c r="D973" s="10"/>
    </row>
    <row r="974">
      <c r="A974" s="10"/>
      <c r="C974" s="10"/>
      <c r="D974" s="10"/>
    </row>
    <row r="975">
      <c r="A975" s="10"/>
      <c r="C975" s="10"/>
      <c r="D975" s="10"/>
    </row>
    <row r="976">
      <c r="A976" s="10"/>
      <c r="C976" s="10"/>
      <c r="D976" s="10"/>
    </row>
    <row r="977">
      <c r="A977" s="10"/>
      <c r="C977" s="10"/>
      <c r="D977" s="10"/>
    </row>
    <row r="978">
      <c r="A978" s="10"/>
      <c r="C978" s="10"/>
      <c r="D978" s="10"/>
    </row>
    <row r="979">
      <c r="A979" s="10"/>
      <c r="C979" s="10"/>
      <c r="D979" s="10"/>
    </row>
    <row r="980">
      <c r="A980" s="10"/>
      <c r="C980" s="10"/>
      <c r="D980" s="10"/>
    </row>
    <row r="981">
      <c r="A981" s="10"/>
      <c r="C981" s="10"/>
      <c r="D981" s="10"/>
    </row>
  </sheetData>
  <hyperlinks>
    <hyperlink r:id="rId1" location="gid=1258003616" ref="C15"/>
    <hyperlink r:id="rId2" ref="D15"/>
    <hyperlink r:id="rId3" ref="D27"/>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8.86"/>
    <col customWidth="1" min="2" max="2" width="16.71"/>
  </cols>
  <sheetData>
    <row r="1">
      <c r="A1" s="6" t="s">
        <v>19</v>
      </c>
      <c r="B1" s="8" t="s">
        <v>27</v>
      </c>
    </row>
    <row r="2">
      <c r="A2" s="6" t="s">
        <v>30</v>
      </c>
      <c r="B2" s="8" t="s">
        <v>33</v>
      </c>
    </row>
    <row r="3">
      <c r="A3" s="6" t="s">
        <v>35</v>
      </c>
      <c r="B3" s="8" t="s">
        <v>36</v>
      </c>
    </row>
    <row r="4">
      <c r="A4" s="6" t="s">
        <v>38</v>
      </c>
      <c r="B4" s="8" t="s">
        <v>39</v>
      </c>
    </row>
    <row r="5">
      <c r="A5" s="6" t="s">
        <v>40</v>
      </c>
      <c r="B5" s="8" t="s">
        <v>41</v>
      </c>
    </row>
    <row r="6">
      <c r="A6" s="6" t="s">
        <v>42</v>
      </c>
      <c r="B6" s="8" t="s">
        <v>43</v>
      </c>
    </row>
    <row r="7">
      <c r="A7" s="6" t="s">
        <v>44</v>
      </c>
      <c r="B7" s="8" t="s">
        <v>45</v>
      </c>
    </row>
    <row r="8">
      <c r="A8" s="6" t="s">
        <v>46</v>
      </c>
      <c r="B8" s="8" t="s">
        <v>47</v>
      </c>
    </row>
    <row r="9">
      <c r="A9" s="10"/>
    </row>
    <row r="10">
      <c r="A10" s="6" t="s">
        <v>49</v>
      </c>
    </row>
    <row r="11">
      <c r="A11" s="6" t="s">
        <v>50</v>
      </c>
      <c r="B11" s="8" t="s">
        <v>51</v>
      </c>
    </row>
    <row r="12">
      <c r="A12" s="6" t="s">
        <v>53</v>
      </c>
      <c r="B12" s="8" t="s">
        <v>54</v>
      </c>
    </row>
    <row r="13">
      <c r="A13" s="6" t="s">
        <v>56</v>
      </c>
      <c r="B13" s="8" t="s">
        <v>58</v>
      </c>
    </row>
    <row r="14">
      <c r="A14" s="10"/>
    </row>
    <row r="15">
      <c r="A15" s="6" t="s">
        <v>62</v>
      </c>
      <c r="B15" s="8" t="s">
        <v>63</v>
      </c>
    </row>
    <row r="16">
      <c r="A16" s="6" t="s">
        <v>66</v>
      </c>
      <c r="B16" s="8" t="s">
        <v>68</v>
      </c>
    </row>
    <row r="17">
      <c r="A17" s="6" t="s">
        <v>69</v>
      </c>
      <c r="B17" s="8" t="s">
        <v>71</v>
      </c>
    </row>
    <row r="18">
      <c r="A18" s="6" t="s">
        <v>72</v>
      </c>
      <c r="B18" s="8" t="s">
        <v>74</v>
      </c>
    </row>
    <row r="19">
      <c r="A19" s="6" t="s">
        <v>76</v>
      </c>
      <c r="B19" s="8" t="s">
        <v>77</v>
      </c>
    </row>
    <row r="20">
      <c r="A20" s="6" t="s">
        <v>79</v>
      </c>
      <c r="B20" s="8" t="s">
        <v>80</v>
      </c>
    </row>
    <row r="21">
      <c r="A21" s="10"/>
    </row>
    <row r="22">
      <c r="A22" s="6" t="s">
        <v>82</v>
      </c>
      <c r="B22" s="8" t="s">
        <v>83</v>
      </c>
    </row>
    <row r="23">
      <c r="A23" s="6" t="s">
        <v>85</v>
      </c>
      <c r="B23" s="8" t="s">
        <v>86</v>
      </c>
    </row>
    <row r="24">
      <c r="A24" s="6" t="s">
        <v>89</v>
      </c>
      <c r="B24" s="8" t="s">
        <v>90</v>
      </c>
    </row>
    <row r="25">
      <c r="A25" s="6" t="s">
        <v>92</v>
      </c>
      <c r="B25" s="8" t="s">
        <v>93</v>
      </c>
    </row>
    <row r="26">
      <c r="A26" s="10"/>
    </row>
    <row r="27">
      <c r="A27" s="6" t="s">
        <v>96</v>
      </c>
      <c r="B27" s="8" t="s">
        <v>98</v>
      </c>
    </row>
    <row r="28">
      <c r="A28" s="6" t="s">
        <v>100</v>
      </c>
      <c r="B28" s="8" t="s">
        <v>101</v>
      </c>
    </row>
    <row r="29">
      <c r="A29" s="6" t="s">
        <v>104</v>
      </c>
      <c r="B29" s="8" t="s">
        <v>105</v>
      </c>
    </row>
    <row r="30">
      <c r="A30" s="6" t="s">
        <v>107</v>
      </c>
      <c r="B30" s="8" t="s">
        <v>108</v>
      </c>
    </row>
    <row r="31">
      <c r="A31" s="6" t="s">
        <v>109</v>
      </c>
      <c r="B31" s="8" t="s">
        <v>110</v>
      </c>
    </row>
    <row r="32">
      <c r="A32" s="10"/>
    </row>
    <row r="33">
      <c r="A33" s="6" t="s">
        <v>113</v>
      </c>
      <c r="B33" s="8" t="s">
        <v>114</v>
      </c>
    </row>
    <row r="34">
      <c r="A34" s="6" t="s">
        <v>118</v>
      </c>
      <c r="B34" s="8" t="s">
        <v>119</v>
      </c>
    </row>
    <row r="35">
      <c r="A35" s="6" t="s">
        <v>121</v>
      </c>
      <c r="B35" s="8" t="s">
        <v>123</v>
      </c>
    </row>
    <row r="36">
      <c r="A36" s="6" t="s">
        <v>126</v>
      </c>
      <c r="B36" s="8" t="s">
        <v>127</v>
      </c>
    </row>
    <row r="37">
      <c r="A37" s="10"/>
    </row>
    <row r="38">
      <c r="A38" s="6" t="s">
        <v>130</v>
      </c>
      <c r="B38" s="8" t="s">
        <v>132</v>
      </c>
    </row>
    <row r="39">
      <c r="A39" s="6" t="s">
        <v>133</v>
      </c>
      <c r="B39" s="8" t="s">
        <v>134</v>
      </c>
    </row>
    <row r="40">
      <c r="A40" s="6" t="s">
        <v>135</v>
      </c>
      <c r="B40" s="8" t="s">
        <v>136</v>
      </c>
    </row>
    <row r="41">
      <c r="A41" s="6" t="s">
        <v>138</v>
      </c>
      <c r="B41" s="8" t="s">
        <v>139</v>
      </c>
    </row>
    <row r="42">
      <c r="A42" s="6" t="s">
        <v>140</v>
      </c>
      <c r="B42" s="8" t="s">
        <v>141</v>
      </c>
    </row>
    <row r="43">
      <c r="A43" s="10"/>
    </row>
    <row r="44">
      <c r="A44" s="6" t="s">
        <v>142</v>
      </c>
      <c r="B44" s="8" t="s">
        <v>143</v>
      </c>
    </row>
    <row r="45">
      <c r="A45" s="6" t="s">
        <v>144</v>
      </c>
      <c r="B45" s="8" t="s">
        <v>145</v>
      </c>
    </row>
    <row r="46">
      <c r="A46" s="6" t="s">
        <v>146</v>
      </c>
      <c r="B46" s="8" t="s">
        <v>147</v>
      </c>
    </row>
    <row r="47">
      <c r="A47" s="6" t="s">
        <v>148</v>
      </c>
      <c r="B47" s="8" t="s">
        <v>149</v>
      </c>
    </row>
    <row r="48">
      <c r="A48" s="10"/>
    </row>
    <row r="49">
      <c r="A49" s="6" t="s">
        <v>150</v>
      </c>
      <c r="B49" s="8" t="s">
        <v>154</v>
      </c>
    </row>
    <row r="50">
      <c r="A50" s="6" t="s">
        <v>156</v>
      </c>
      <c r="B50" s="8" t="s">
        <v>158</v>
      </c>
    </row>
    <row r="51">
      <c r="A51" s="6" t="s">
        <v>159</v>
      </c>
      <c r="B51" s="8" t="s">
        <v>160</v>
      </c>
    </row>
    <row r="52">
      <c r="A52" s="6" t="s">
        <v>162</v>
      </c>
      <c r="B52" s="8" t="s">
        <v>163</v>
      </c>
    </row>
    <row r="53">
      <c r="A53" s="10"/>
    </row>
    <row r="54">
      <c r="A54" s="6" t="s">
        <v>164</v>
      </c>
      <c r="B54" s="8" t="s">
        <v>165</v>
      </c>
    </row>
    <row r="55">
      <c r="A55" s="6" t="s">
        <v>166</v>
      </c>
      <c r="B55" s="8" t="s">
        <v>167</v>
      </c>
    </row>
    <row r="56">
      <c r="A56" s="6" t="s">
        <v>168</v>
      </c>
      <c r="B56" s="8" t="s">
        <v>169</v>
      </c>
    </row>
    <row r="57">
      <c r="A57" s="10"/>
    </row>
    <row r="58">
      <c r="A58" s="6" t="s">
        <v>170</v>
      </c>
      <c r="B58" s="8" t="s">
        <v>171</v>
      </c>
    </row>
    <row r="59">
      <c r="A59" s="6" t="s">
        <v>172</v>
      </c>
      <c r="B59" s="8" t="s">
        <v>173</v>
      </c>
    </row>
    <row r="60">
      <c r="A60" s="10"/>
    </row>
    <row r="61">
      <c r="A61" s="6" t="s">
        <v>175</v>
      </c>
      <c r="B61" s="8" t="s">
        <v>176</v>
      </c>
    </row>
    <row r="62">
      <c r="A62" s="6" t="s">
        <v>177</v>
      </c>
      <c r="B62" s="8" t="s">
        <v>178</v>
      </c>
    </row>
    <row r="63">
      <c r="A63" s="10"/>
    </row>
    <row r="64">
      <c r="A64" s="10"/>
    </row>
    <row r="65">
      <c r="A65" s="10"/>
    </row>
    <row r="66">
      <c r="A66" s="10"/>
    </row>
    <row r="67">
      <c r="A67" s="10"/>
    </row>
    <row r="68">
      <c r="A68" s="10"/>
    </row>
    <row r="69">
      <c r="A69" s="10"/>
    </row>
    <row r="70">
      <c r="A70" s="10"/>
    </row>
    <row r="71">
      <c r="A71" s="10"/>
    </row>
    <row r="72">
      <c r="A72" s="10"/>
    </row>
    <row r="73">
      <c r="A73" s="10"/>
    </row>
    <row r="74">
      <c r="A74" s="10"/>
    </row>
    <row r="75">
      <c r="A75" s="10"/>
    </row>
    <row r="76">
      <c r="A76" s="10"/>
    </row>
    <row r="77">
      <c r="A77" s="10"/>
    </row>
    <row r="78">
      <c r="A78" s="10"/>
    </row>
    <row r="79">
      <c r="A79" s="10"/>
    </row>
    <row r="80">
      <c r="A80" s="10"/>
    </row>
    <row r="81">
      <c r="A81" s="10"/>
    </row>
    <row r="82">
      <c r="A82" s="10"/>
    </row>
    <row r="83">
      <c r="A83" s="10"/>
    </row>
    <row r="84">
      <c r="A84" s="10"/>
    </row>
    <row r="85">
      <c r="A85" s="10"/>
    </row>
    <row r="86">
      <c r="A86" s="10"/>
    </row>
    <row r="87">
      <c r="A87" s="10"/>
    </row>
    <row r="88">
      <c r="A88" s="10"/>
    </row>
    <row r="89">
      <c r="A89" s="10"/>
    </row>
    <row r="90">
      <c r="A90" s="10"/>
    </row>
    <row r="91">
      <c r="A91" s="10"/>
    </row>
    <row r="92">
      <c r="A92" s="10"/>
    </row>
    <row r="93">
      <c r="A93" s="10"/>
    </row>
    <row r="94">
      <c r="A94" s="10"/>
    </row>
    <row r="95">
      <c r="A95" s="10"/>
    </row>
    <row r="96">
      <c r="A96" s="10"/>
    </row>
    <row r="97">
      <c r="A97" s="10"/>
    </row>
    <row r="98">
      <c r="A98" s="10"/>
    </row>
    <row r="99">
      <c r="A99" s="10"/>
    </row>
    <row r="100">
      <c r="A100" s="10"/>
    </row>
    <row r="101">
      <c r="A101" s="10"/>
    </row>
    <row r="102">
      <c r="A102" s="10"/>
    </row>
    <row r="103">
      <c r="A103" s="10"/>
    </row>
    <row r="104">
      <c r="A104" s="10"/>
    </row>
    <row r="105">
      <c r="A105" s="10"/>
    </row>
    <row r="106">
      <c r="A106" s="10"/>
    </row>
    <row r="107">
      <c r="A107" s="10"/>
    </row>
    <row r="108">
      <c r="A108" s="10"/>
    </row>
    <row r="109">
      <c r="A109" s="10"/>
    </row>
    <row r="110">
      <c r="A110" s="10"/>
    </row>
    <row r="111">
      <c r="A111" s="10"/>
    </row>
    <row r="112">
      <c r="A112" s="10"/>
    </row>
    <row r="113">
      <c r="A113" s="10"/>
    </row>
    <row r="114">
      <c r="A114" s="10"/>
    </row>
    <row r="115">
      <c r="A115" s="10"/>
    </row>
    <row r="116">
      <c r="A116" s="10"/>
    </row>
    <row r="117">
      <c r="A117" s="10"/>
    </row>
    <row r="118">
      <c r="A118" s="10"/>
    </row>
    <row r="119">
      <c r="A119" s="10"/>
    </row>
    <row r="120">
      <c r="A120" s="10"/>
    </row>
    <row r="121">
      <c r="A121" s="10"/>
    </row>
    <row r="122">
      <c r="A122" s="10"/>
    </row>
    <row r="123">
      <c r="A123" s="10"/>
    </row>
    <row r="124">
      <c r="A124" s="10"/>
    </row>
    <row r="125">
      <c r="A125" s="10"/>
    </row>
    <row r="126">
      <c r="A126" s="10"/>
    </row>
    <row r="127">
      <c r="A127" s="10"/>
    </row>
    <row r="128">
      <c r="A128" s="10"/>
    </row>
    <row r="129">
      <c r="A129" s="10"/>
    </row>
    <row r="130">
      <c r="A130" s="10"/>
    </row>
    <row r="131">
      <c r="A131" s="10"/>
    </row>
    <row r="132">
      <c r="A132" s="10"/>
    </row>
    <row r="133">
      <c r="A133" s="10"/>
    </row>
    <row r="134">
      <c r="A134" s="10"/>
    </row>
    <row r="135">
      <c r="A135" s="10"/>
    </row>
    <row r="136">
      <c r="A136" s="10"/>
    </row>
    <row r="137">
      <c r="A137" s="10"/>
    </row>
    <row r="138">
      <c r="A138" s="10"/>
    </row>
    <row r="139">
      <c r="A139" s="10"/>
    </row>
    <row r="140">
      <c r="A140" s="10"/>
    </row>
    <row r="141">
      <c r="A141" s="10"/>
    </row>
    <row r="142">
      <c r="A142" s="10"/>
    </row>
    <row r="143">
      <c r="A143" s="10"/>
    </row>
    <row r="144">
      <c r="A144" s="10"/>
    </row>
    <row r="145">
      <c r="A145" s="10"/>
    </row>
    <row r="146">
      <c r="A146" s="10"/>
    </row>
    <row r="147">
      <c r="A147" s="10"/>
    </row>
    <row r="148">
      <c r="A148" s="10"/>
    </row>
    <row r="149">
      <c r="A149" s="10"/>
    </row>
    <row r="150">
      <c r="A150" s="10"/>
    </row>
    <row r="151">
      <c r="A151" s="10"/>
    </row>
    <row r="152">
      <c r="A152" s="10"/>
    </row>
    <row r="153">
      <c r="A153" s="10"/>
    </row>
    <row r="154">
      <c r="A154" s="10"/>
    </row>
    <row r="155">
      <c r="A155" s="10"/>
    </row>
    <row r="156">
      <c r="A156" s="10"/>
    </row>
    <row r="157">
      <c r="A157" s="10"/>
    </row>
    <row r="158">
      <c r="A158" s="10"/>
    </row>
    <row r="159">
      <c r="A159" s="10"/>
    </row>
    <row r="160">
      <c r="A160" s="10"/>
    </row>
    <row r="161">
      <c r="A161" s="10"/>
    </row>
    <row r="162">
      <c r="A162" s="10"/>
    </row>
    <row r="163">
      <c r="A163" s="10"/>
    </row>
    <row r="164">
      <c r="A164" s="10"/>
    </row>
    <row r="165">
      <c r="A165" s="10"/>
    </row>
    <row r="166">
      <c r="A166" s="10"/>
    </row>
    <row r="167">
      <c r="A167" s="10"/>
    </row>
    <row r="168">
      <c r="A168" s="10"/>
    </row>
    <row r="169">
      <c r="A169" s="10"/>
    </row>
    <row r="170">
      <c r="A170" s="10"/>
    </row>
    <row r="171">
      <c r="A171" s="10"/>
    </row>
    <row r="172">
      <c r="A172" s="10"/>
    </row>
    <row r="173">
      <c r="A173" s="10"/>
    </row>
    <row r="174">
      <c r="A174" s="10"/>
    </row>
    <row r="175">
      <c r="A175" s="10"/>
    </row>
    <row r="176">
      <c r="A176" s="10"/>
    </row>
    <row r="177">
      <c r="A177" s="10"/>
    </row>
    <row r="178">
      <c r="A178" s="10"/>
    </row>
    <row r="179">
      <c r="A179" s="10"/>
    </row>
    <row r="180">
      <c r="A180" s="10"/>
    </row>
    <row r="181">
      <c r="A181" s="10"/>
    </row>
    <row r="182">
      <c r="A182" s="10"/>
    </row>
    <row r="183">
      <c r="A183" s="10"/>
    </row>
    <row r="184">
      <c r="A184" s="10"/>
    </row>
    <row r="185">
      <c r="A185" s="10"/>
    </row>
    <row r="186">
      <c r="A186" s="10"/>
    </row>
    <row r="187">
      <c r="A187" s="10"/>
    </row>
    <row r="188">
      <c r="A188" s="10"/>
    </row>
    <row r="189">
      <c r="A189" s="10"/>
    </row>
    <row r="190">
      <c r="A190" s="10"/>
    </row>
    <row r="191">
      <c r="A191" s="10"/>
    </row>
    <row r="192">
      <c r="A192" s="10"/>
    </row>
    <row r="193">
      <c r="A193" s="10"/>
    </row>
    <row r="194">
      <c r="A194" s="10"/>
    </row>
    <row r="195">
      <c r="A195" s="10"/>
    </row>
    <row r="196">
      <c r="A196" s="10"/>
    </row>
    <row r="197">
      <c r="A197" s="10"/>
    </row>
    <row r="198">
      <c r="A198" s="10"/>
    </row>
    <row r="199">
      <c r="A199" s="10"/>
    </row>
    <row r="200">
      <c r="A200" s="10"/>
    </row>
    <row r="201">
      <c r="A201" s="10"/>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0"/>
    </row>
    <row r="219">
      <c r="A219" s="10"/>
    </row>
    <row r="220">
      <c r="A220" s="10"/>
    </row>
    <row r="221">
      <c r="A221" s="10"/>
    </row>
    <row r="222">
      <c r="A222" s="10"/>
    </row>
    <row r="223">
      <c r="A223" s="10"/>
    </row>
    <row r="224">
      <c r="A224" s="10"/>
    </row>
    <row r="225">
      <c r="A225" s="10"/>
    </row>
    <row r="226">
      <c r="A226" s="10"/>
    </row>
    <row r="227">
      <c r="A227" s="10"/>
    </row>
    <row r="228">
      <c r="A228" s="10"/>
    </row>
    <row r="229">
      <c r="A229" s="10"/>
    </row>
    <row r="230">
      <c r="A230" s="10"/>
    </row>
    <row r="231">
      <c r="A231" s="10"/>
    </row>
    <row r="232">
      <c r="A232" s="10"/>
    </row>
    <row r="233">
      <c r="A233" s="10"/>
    </row>
    <row r="234">
      <c r="A234" s="10"/>
    </row>
    <row r="235">
      <c r="A235" s="10"/>
    </row>
    <row r="236">
      <c r="A236" s="10"/>
    </row>
    <row r="237">
      <c r="A237" s="10"/>
    </row>
    <row r="238">
      <c r="A238" s="10"/>
    </row>
    <row r="239">
      <c r="A239" s="10"/>
    </row>
    <row r="240">
      <c r="A240" s="10"/>
    </row>
    <row r="241">
      <c r="A241" s="10"/>
    </row>
    <row r="242">
      <c r="A242" s="10"/>
    </row>
    <row r="243">
      <c r="A243" s="10"/>
    </row>
    <row r="244">
      <c r="A244" s="10"/>
    </row>
    <row r="245">
      <c r="A245" s="10"/>
    </row>
    <row r="246">
      <c r="A246" s="10"/>
    </row>
    <row r="247">
      <c r="A247" s="10"/>
    </row>
    <row r="248">
      <c r="A248" s="10"/>
    </row>
    <row r="249">
      <c r="A249" s="10"/>
    </row>
    <row r="250">
      <c r="A250" s="10"/>
    </row>
    <row r="251">
      <c r="A251" s="10"/>
    </row>
    <row r="252">
      <c r="A252" s="10"/>
    </row>
    <row r="253">
      <c r="A253" s="10"/>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0"/>
    </row>
    <row r="289">
      <c r="A289" s="10"/>
    </row>
    <row r="290">
      <c r="A290" s="10"/>
    </row>
    <row r="291">
      <c r="A291" s="10"/>
    </row>
    <row r="292">
      <c r="A292" s="10"/>
    </row>
    <row r="293">
      <c r="A293" s="10"/>
    </row>
    <row r="294">
      <c r="A294" s="10"/>
    </row>
    <row r="295">
      <c r="A295" s="10"/>
    </row>
    <row r="296">
      <c r="A296" s="10"/>
    </row>
    <row r="297">
      <c r="A297" s="10"/>
    </row>
    <row r="298">
      <c r="A298" s="10"/>
    </row>
    <row r="299">
      <c r="A299" s="10"/>
    </row>
    <row r="300">
      <c r="A300" s="10"/>
    </row>
    <row r="301">
      <c r="A301" s="10"/>
    </row>
    <row r="302">
      <c r="A302" s="10"/>
    </row>
    <row r="303">
      <c r="A303" s="10"/>
    </row>
    <row r="304">
      <c r="A304" s="10"/>
    </row>
    <row r="305">
      <c r="A305" s="10"/>
    </row>
    <row r="306">
      <c r="A306" s="10"/>
    </row>
    <row r="307">
      <c r="A307" s="10"/>
    </row>
    <row r="308">
      <c r="A308" s="10"/>
    </row>
    <row r="309">
      <c r="A309" s="10"/>
    </row>
    <row r="310">
      <c r="A310" s="10"/>
    </row>
    <row r="311">
      <c r="A311" s="10"/>
    </row>
    <row r="312">
      <c r="A312" s="10"/>
    </row>
    <row r="313">
      <c r="A313" s="10"/>
    </row>
    <row r="314">
      <c r="A314" s="10"/>
    </row>
    <row r="315">
      <c r="A315" s="10"/>
    </row>
    <row r="316">
      <c r="A316" s="10"/>
    </row>
    <row r="317">
      <c r="A317" s="10"/>
    </row>
    <row r="318">
      <c r="A318" s="10"/>
    </row>
    <row r="319">
      <c r="A319" s="10"/>
    </row>
    <row r="320">
      <c r="A320" s="10"/>
    </row>
    <row r="321">
      <c r="A321" s="10"/>
    </row>
    <row r="322">
      <c r="A322" s="10"/>
    </row>
    <row r="323">
      <c r="A323" s="10"/>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0"/>
    </row>
    <row r="989">
      <c r="A989" s="10"/>
    </row>
    <row r="990">
      <c r="A990" s="10"/>
    </row>
    <row r="991">
      <c r="A991" s="10"/>
    </row>
    <row r="992">
      <c r="A992" s="10"/>
    </row>
    <row r="993">
      <c r="A993" s="10"/>
    </row>
    <row r="994">
      <c r="A994" s="10"/>
    </row>
    <row r="995">
      <c r="A995" s="10"/>
    </row>
    <row r="996">
      <c r="A996" s="10"/>
    </row>
    <row r="997">
      <c r="A997" s="10"/>
    </row>
    <row r="998">
      <c r="A998" s="10"/>
    </row>
    <row r="999">
      <c r="A999" s="10"/>
    </row>
    <row r="1000">
      <c r="A1000" s="10"/>
    </row>
    <row r="1001">
      <c r="A1001"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86"/>
    <col customWidth="1" min="2" max="2" width="22.0"/>
    <col customWidth="1" min="3" max="3" width="34.0"/>
    <col customWidth="1" min="4" max="4" width="14.0"/>
    <col customWidth="1" min="5" max="5" width="11.0"/>
    <col customWidth="1" min="6" max="6" width="20.0"/>
    <col customWidth="1" min="7" max="7" width="22.0"/>
    <col customWidth="1" min="8" max="8" width="26.0"/>
    <col customWidth="1" min="9" max="9" width="70.0"/>
    <col customWidth="1" min="10" max="10" width="11.29"/>
    <col customWidth="1" min="11" max="11" width="33.71"/>
    <col customWidth="1" min="12" max="12" width="69.43"/>
    <col customWidth="1" min="13" max="13" width="45.0"/>
  </cols>
  <sheetData>
    <row r="1">
      <c r="A1" s="1" t="s">
        <v>0</v>
      </c>
      <c r="B1" s="1" t="s">
        <v>1</v>
      </c>
      <c r="C1" s="1" t="s">
        <v>2</v>
      </c>
      <c r="D1" s="1" t="s">
        <v>3</v>
      </c>
      <c r="E1" s="1" t="s">
        <v>4</v>
      </c>
      <c r="F1" s="1" t="s">
        <v>5</v>
      </c>
      <c r="G1" s="1" t="s">
        <v>6</v>
      </c>
      <c r="H1" s="1" t="s">
        <v>7</v>
      </c>
      <c r="I1" s="1" t="s">
        <v>8</v>
      </c>
      <c r="J1" s="1" t="s">
        <v>9</v>
      </c>
      <c r="K1" s="1" t="s">
        <v>10</v>
      </c>
      <c r="L1" s="1" t="s">
        <v>11</v>
      </c>
      <c r="M1" s="1"/>
    </row>
    <row r="2">
      <c r="A2" s="24" t="s">
        <v>421</v>
      </c>
      <c r="B2" s="25"/>
      <c r="C2" s="25"/>
      <c r="D2" s="26"/>
      <c r="E2" s="2"/>
      <c r="F2" s="2"/>
      <c r="G2" s="2"/>
      <c r="H2" s="7"/>
      <c r="I2" s="2"/>
      <c r="J2" s="9"/>
      <c r="K2" s="2"/>
      <c r="L2" s="2"/>
      <c r="M2" s="2"/>
    </row>
    <row r="3">
      <c r="A3" s="2">
        <v>1.0</v>
      </c>
      <c r="B3" s="2" t="s">
        <v>14</v>
      </c>
      <c r="C3" s="2" t="s">
        <v>15</v>
      </c>
      <c r="D3" s="4" t="s">
        <v>16</v>
      </c>
      <c r="E3" s="2" t="s">
        <v>23</v>
      </c>
      <c r="F3" s="2" t="s">
        <v>24</v>
      </c>
      <c r="G3" s="2" t="s">
        <v>25</v>
      </c>
      <c r="H3" s="7" t="s">
        <v>440</v>
      </c>
      <c r="I3" s="2" t="s">
        <v>28</v>
      </c>
      <c r="J3" s="9" t="s">
        <v>29</v>
      </c>
      <c r="K3" s="2"/>
      <c r="L3" s="2"/>
      <c r="M3" s="2"/>
    </row>
    <row r="4">
      <c r="A4" s="2">
        <v>44.0</v>
      </c>
      <c r="B4" s="2" t="s">
        <v>14</v>
      </c>
      <c r="C4" s="2" t="s">
        <v>425</v>
      </c>
      <c r="D4" s="4" t="s">
        <v>16</v>
      </c>
      <c r="E4" s="2" t="s">
        <v>55</v>
      </c>
      <c r="F4" s="2" t="s">
        <v>211</v>
      </c>
      <c r="G4" s="2" t="s">
        <v>284</v>
      </c>
      <c r="H4" s="7" t="s">
        <v>440</v>
      </c>
      <c r="I4" s="2" t="s">
        <v>431</v>
      </c>
      <c r="J4" s="9" t="s">
        <v>29</v>
      </c>
      <c r="K4" s="2"/>
      <c r="L4" s="7" t="s">
        <v>450</v>
      </c>
      <c r="M4" s="2"/>
    </row>
    <row r="5">
      <c r="A5" s="2">
        <v>80.0</v>
      </c>
      <c r="B5" s="2" t="s">
        <v>453</v>
      </c>
      <c r="C5" s="2" t="s">
        <v>456</v>
      </c>
      <c r="D5" s="4" t="s">
        <v>457</v>
      </c>
      <c r="E5" s="2"/>
      <c r="F5" s="2" t="s">
        <v>211</v>
      </c>
      <c r="G5" s="2" t="s">
        <v>284</v>
      </c>
      <c r="H5" s="7" t="s">
        <v>463</v>
      </c>
      <c r="I5" s="7" t="s">
        <v>465</v>
      </c>
      <c r="J5" s="12" t="s">
        <v>20</v>
      </c>
      <c r="K5" s="2" t="s">
        <v>467</v>
      </c>
      <c r="L5" s="2" t="s">
        <v>468</v>
      </c>
      <c r="M5" s="2"/>
    </row>
    <row r="6">
      <c r="A6" s="24" t="s">
        <v>469</v>
      </c>
      <c r="B6" s="25"/>
      <c r="C6" s="25"/>
      <c r="D6" s="26"/>
      <c r="E6" s="2"/>
      <c r="F6" s="2"/>
      <c r="G6" s="2"/>
      <c r="H6" s="7"/>
      <c r="I6" s="2"/>
      <c r="J6" s="9"/>
      <c r="K6" s="2"/>
      <c r="L6" s="2"/>
      <c r="M6" s="2"/>
    </row>
    <row r="7">
      <c r="A7" s="2">
        <v>3.0</v>
      </c>
      <c r="B7" s="2" t="s">
        <v>14</v>
      </c>
      <c r="C7" s="2" t="s">
        <v>64</v>
      </c>
      <c r="D7" s="4" t="s">
        <v>16</v>
      </c>
      <c r="E7" s="2" t="s">
        <v>23</v>
      </c>
      <c r="F7" s="2" t="s">
        <v>24</v>
      </c>
      <c r="G7" s="2" t="s">
        <v>25</v>
      </c>
      <c r="H7" s="7"/>
      <c r="I7" s="2" t="s">
        <v>106</v>
      </c>
      <c r="J7" s="12" t="s">
        <v>20</v>
      </c>
      <c r="K7" s="2" t="s">
        <v>115</v>
      </c>
      <c r="L7" s="2" t="s">
        <v>117</v>
      </c>
      <c r="M7" s="2"/>
    </row>
    <row r="8">
      <c r="A8" s="2">
        <v>7.0</v>
      </c>
      <c r="B8" s="2" t="s">
        <v>14</v>
      </c>
      <c r="C8" s="2" t="s">
        <v>207</v>
      </c>
      <c r="D8" s="4" t="s">
        <v>16</v>
      </c>
      <c r="E8" s="2" t="s">
        <v>55</v>
      </c>
      <c r="F8" s="2" t="s">
        <v>24</v>
      </c>
      <c r="G8" s="2" t="s">
        <v>25</v>
      </c>
      <c r="H8" s="7"/>
      <c r="I8" s="2" t="s">
        <v>210</v>
      </c>
      <c r="J8" s="9" t="s">
        <v>29</v>
      </c>
      <c r="K8" s="2"/>
      <c r="L8" s="2"/>
      <c r="M8" s="2"/>
    </row>
    <row r="9">
      <c r="A9" s="2">
        <v>9.0</v>
      </c>
      <c r="B9" s="2" t="s">
        <v>14</v>
      </c>
      <c r="C9" s="2" t="s">
        <v>241</v>
      </c>
      <c r="D9" s="20" t="s">
        <v>16</v>
      </c>
      <c r="E9" s="2" t="s">
        <v>254</v>
      </c>
      <c r="F9" s="2" t="s">
        <v>24</v>
      </c>
      <c r="G9" s="2" t="s">
        <v>25</v>
      </c>
      <c r="H9" s="7"/>
      <c r="I9" s="2" t="s">
        <v>258</v>
      </c>
      <c r="J9" s="9" t="s">
        <v>29</v>
      </c>
      <c r="K9" s="2"/>
      <c r="L9" s="2"/>
      <c r="M9" s="2"/>
    </row>
    <row r="10">
      <c r="A10" s="2">
        <v>20.0</v>
      </c>
      <c r="B10" s="2" t="s">
        <v>14</v>
      </c>
      <c r="C10" s="2" t="s">
        <v>312</v>
      </c>
      <c r="D10" s="4" t="s">
        <v>16</v>
      </c>
      <c r="E10" s="2" t="s">
        <v>254</v>
      </c>
      <c r="F10" s="2" t="s">
        <v>191</v>
      </c>
      <c r="G10" s="2" t="s">
        <v>295</v>
      </c>
      <c r="H10" s="7"/>
      <c r="I10" s="2" t="s">
        <v>314</v>
      </c>
      <c r="J10" s="9" t="s">
        <v>29</v>
      </c>
      <c r="K10" s="2"/>
      <c r="L10" s="2"/>
      <c r="M10" s="2"/>
    </row>
    <row r="11">
      <c r="A11" s="2">
        <v>24.0</v>
      </c>
      <c r="B11" s="2" t="s">
        <v>14</v>
      </c>
      <c r="C11" s="2" t="s">
        <v>330</v>
      </c>
      <c r="D11" s="4" t="s">
        <v>16</v>
      </c>
      <c r="E11" s="2" t="s">
        <v>254</v>
      </c>
      <c r="F11" s="2" t="s">
        <v>191</v>
      </c>
      <c r="G11" s="2" t="s">
        <v>295</v>
      </c>
      <c r="H11" s="7"/>
      <c r="I11" s="2" t="s">
        <v>333</v>
      </c>
      <c r="J11" s="9" t="s">
        <v>29</v>
      </c>
      <c r="K11" s="2"/>
      <c r="L11" s="2"/>
      <c r="M11" s="2"/>
    </row>
    <row r="12">
      <c r="A12" s="2">
        <v>25.0</v>
      </c>
      <c r="B12" s="2" t="s">
        <v>14</v>
      </c>
      <c r="C12" s="2" t="s">
        <v>335</v>
      </c>
      <c r="D12" s="4" t="s">
        <v>16</v>
      </c>
      <c r="E12" s="2" t="s">
        <v>23</v>
      </c>
      <c r="F12" s="2" t="s">
        <v>191</v>
      </c>
      <c r="G12" s="2" t="s">
        <v>295</v>
      </c>
      <c r="H12" s="7"/>
      <c r="I12" s="2" t="s">
        <v>337</v>
      </c>
      <c r="J12" s="9" t="s">
        <v>29</v>
      </c>
      <c r="K12" s="2"/>
      <c r="L12" s="2"/>
      <c r="M12" s="2"/>
    </row>
    <row r="13">
      <c r="A13" s="2">
        <v>40.0</v>
      </c>
      <c r="B13" s="2" t="s">
        <v>14</v>
      </c>
      <c r="C13" s="2" t="s">
        <v>411</v>
      </c>
      <c r="D13" s="4" t="s">
        <v>16</v>
      </c>
      <c r="E13" s="2" t="s">
        <v>254</v>
      </c>
      <c r="F13" s="2" t="s">
        <v>206</v>
      </c>
      <c r="G13" s="7" t="s">
        <v>351</v>
      </c>
      <c r="H13" s="7"/>
      <c r="I13" s="2" t="s">
        <v>413</v>
      </c>
      <c r="J13" s="9" t="s">
        <v>29</v>
      </c>
      <c r="K13" s="2"/>
      <c r="L13" s="2"/>
      <c r="M13" s="2"/>
    </row>
    <row r="14">
      <c r="A14" s="2">
        <v>49.0</v>
      </c>
      <c r="B14" s="2" t="s">
        <v>14</v>
      </c>
      <c r="C14" s="2" t="s">
        <v>459</v>
      </c>
      <c r="D14" s="4" t="s">
        <v>16</v>
      </c>
      <c r="E14" s="2" t="s">
        <v>55</v>
      </c>
      <c r="F14" s="2" t="s">
        <v>211</v>
      </c>
      <c r="G14" s="2" t="s">
        <v>284</v>
      </c>
      <c r="H14" s="7"/>
      <c r="I14" s="2" t="s">
        <v>461</v>
      </c>
      <c r="J14" s="12" t="s">
        <v>20</v>
      </c>
      <c r="K14" s="2" t="s">
        <v>115</v>
      </c>
      <c r="L14" s="2" t="s">
        <v>462</v>
      </c>
      <c r="M14" s="2"/>
    </row>
    <row r="15">
      <c r="A15" s="24" t="s">
        <v>509</v>
      </c>
      <c r="B15" s="25"/>
      <c r="C15" s="25"/>
      <c r="D15" s="26"/>
      <c r="E15" s="2"/>
      <c r="F15" s="2"/>
      <c r="G15" s="2"/>
      <c r="H15" s="7"/>
      <c r="I15" s="2"/>
      <c r="J15" s="9"/>
      <c r="K15" s="2"/>
      <c r="L15" s="2"/>
      <c r="M15" s="2"/>
    </row>
    <row r="16">
      <c r="A16" s="2">
        <v>6.0</v>
      </c>
      <c r="B16" s="2" t="s">
        <v>14</v>
      </c>
      <c r="C16" s="2" t="s">
        <v>189</v>
      </c>
      <c r="D16" s="4" t="s">
        <v>16</v>
      </c>
      <c r="E16" s="2" t="s">
        <v>55</v>
      </c>
      <c r="F16" s="2" t="s">
        <v>24</v>
      </c>
      <c r="G16" s="2" t="s">
        <v>25</v>
      </c>
      <c r="H16" s="7" t="s">
        <v>517</v>
      </c>
      <c r="I16" s="2" t="s">
        <v>203</v>
      </c>
      <c r="J16" s="12" t="s">
        <v>20</v>
      </c>
      <c r="K16" s="2"/>
      <c r="L16" s="2"/>
      <c r="M16" s="2"/>
    </row>
    <row r="17">
      <c r="A17" s="2">
        <v>28.0</v>
      </c>
      <c r="B17" s="2" t="s">
        <v>14</v>
      </c>
      <c r="C17" s="2" t="s">
        <v>350</v>
      </c>
      <c r="D17" s="4" t="s">
        <v>16</v>
      </c>
      <c r="E17" s="2" t="s">
        <v>254</v>
      </c>
      <c r="F17" s="2" t="s">
        <v>206</v>
      </c>
      <c r="G17" s="7" t="s">
        <v>351</v>
      </c>
      <c r="H17" s="7" t="s">
        <v>517</v>
      </c>
      <c r="I17" s="2" t="s">
        <v>353</v>
      </c>
      <c r="J17" s="9" t="s">
        <v>29</v>
      </c>
      <c r="K17" s="2"/>
      <c r="L17" s="7" t="s">
        <v>354</v>
      </c>
      <c r="M17" s="2"/>
    </row>
    <row r="18">
      <c r="A18" s="2">
        <v>29.0</v>
      </c>
      <c r="B18" s="2" t="s">
        <v>14</v>
      </c>
      <c r="C18" s="2" t="s">
        <v>357</v>
      </c>
      <c r="D18" s="4" t="s">
        <v>16</v>
      </c>
      <c r="E18" s="2" t="s">
        <v>55</v>
      </c>
      <c r="F18" s="2" t="s">
        <v>206</v>
      </c>
      <c r="G18" s="7" t="s">
        <v>351</v>
      </c>
      <c r="H18" s="7" t="s">
        <v>517</v>
      </c>
      <c r="I18" s="2" t="s">
        <v>359</v>
      </c>
      <c r="J18" s="12" t="s">
        <v>20</v>
      </c>
      <c r="K18" s="2" t="s">
        <v>360</v>
      </c>
      <c r="L18" s="2" t="s">
        <v>361</v>
      </c>
      <c r="M18" s="2"/>
    </row>
    <row r="19">
      <c r="A19" s="24" t="s">
        <v>562</v>
      </c>
      <c r="B19" s="25"/>
      <c r="C19" s="26"/>
      <c r="D19" s="27"/>
      <c r="E19" s="2"/>
      <c r="F19" s="2"/>
      <c r="G19" s="2"/>
      <c r="H19" s="7"/>
      <c r="I19" s="2"/>
      <c r="J19" s="9"/>
      <c r="K19" s="2"/>
      <c r="L19" s="2"/>
      <c r="M19" s="2"/>
    </row>
    <row r="20">
      <c r="A20" s="2">
        <v>26.0</v>
      </c>
      <c r="B20" s="2" t="s">
        <v>14</v>
      </c>
      <c r="C20" s="2" t="s">
        <v>261</v>
      </c>
      <c r="D20" s="4" t="s">
        <v>16</v>
      </c>
      <c r="E20" s="2" t="s">
        <v>339</v>
      </c>
      <c r="F20" s="2" t="s">
        <v>191</v>
      </c>
      <c r="G20" s="2" t="s">
        <v>295</v>
      </c>
      <c r="H20" s="7" t="s">
        <v>585</v>
      </c>
      <c r="I20" s="2" t="s">
        <v>340</v>
      </c>
      <c r="J20" s="12" t="s">
        <v>20</v>
      </c>
      <c r="K20" s="2" t="s">
        <v>341</v>
      </c>
      <c r="L20" s="2" t="s">
        <v>342</v>
      </c>
      <c r="M20" s="2"/>
    </row>
    <row r="21">
      <c r="A21" s="2">
        <v>62.0</v>
      </c>
      <c r="B21" s="2" t="s">
        <v>14</v>
      </c>
      <c r="C21" s="2" t="s">
        <v>261</v>
      </c>
      <c r="D21" s="4" t="s">
        <v>16</v>
      </c>
      <c r="E21" s="2" t="s">
        <v>510</v>
      </c>
      <c r="F21" s="2" t="s">
        <v>24</v>
      </c>
      <c r="G21" s="2" t="s">
        <v>25</v>
      </c>
      <c r="H21" s="7" t="s">
        <v>585</v>
      </c>
      <c r="I21" s="2" t="s">
        <v>512</v>
      </c>
      <c r="J21" s="9" t="s">
        <v>29</v>
      </c>
      <c r="K21" s="2"/>
      <c r="L21" s="7" t="s">
        <v>513</v>
      </c>
      <c r="M21" s="2"/>
    </row>
    <row r="22">
      <c r="A22" s="28"/>
      <c r="B22" s="28"/>
      <c r="C22" s="28"/>
      <c r="D22" s="28"/>
      <c r="E22" s="2"/>
      <c r="F22" s="2"/>
      <c r="G22" s="2"/>
      <c r="H22" s="7"/>
      <c r="I22" s="2"/>
      <c r="J22" s="9"/>
      <c r="K22" s="2"/>
      <c r="L22" s="2"/>
      <c r="M22" s="2"/>
    </row>
    <row r="23">
      <c r="A23" s="28"/>
      <c r="B23" s="28"/>
      <c r="C23" s="28"/>
      <c r="D23" s="28"/>
      <c r="E23" s="2"/>
      <c r="F23" s="2"/>
      <c r="G23" s="2"/>
      <c r="H23" s="7"/>
      <c r="I23" s="2"/>
      <c r="J23" s="9"/>
      <c r="K23" s="2"/>
      <c r="L23" s="2"/>
      <c r="M23" s="2"/>
    </row>
    <row r="24">
      <c r="A24" s="28"/>
      <c r="B24" s="28"/>
      <c r="C24" s="28"/>
      <c r="D24" s="28"/>
      <c r="E24" s="2"/>
      <c r="F24" s="2"/>
      <c r="G24" s="2"/>
      <c r="H24" s="7"/>
      <c r="I24" s="2"/>
      <c r="J24" s="9"/>
      <c r="K24" s="2"/>
      <c r="L24" s="2"/>
      <c r="M24" s="2"/>
    </row>
    <row r="25">
      <c r="A25" s="28"/>
      <c r="B25" s="28"/>
      <c r="C25" s="28"/>
      <c r="D25" s="28"/>
      <c r="E25" s="2"/>
      <c r="F25" s="2"/>
      <c r="G25" s="2"/>
      <c r="H25" s="7"/>
      <c r="I25" s="2"/>
      <c r="J25" s="9"/>
      <c r="K25" s="2"/>
      <c r="L25" s="2"/>
      <c r="M25" s="2"/>
    </row>
    <row r="26">
      <c r="A26" s="28"/>
      <c r="B26" s="28"/>
      <c r="C26" s="28"/>
      <c r="D26" s="28"/>
      <c r="E26" s="2"/>
      <c r="F26" s="2"/>
      <c r="G26" s="2"/>
      <c r="H26" s="7"/>
      <c r="I26" s="2"/>
      <c r="J26" s="9"/>
      <c r="K26" s="2"/>
      <c r="L26" s="2"/>
      <c r="M26" s="2"/>
    </row>
    <row r="27">
      <c r="A27" s="28"/>
      <c r="B27" s="28"/>
      <c r="C27" s="28"/>
      <c r="D27" s="28"/>
      <c r="E27" s="2"/>
      <c r="F27" s="2"/>
      <c r="G27" s="2"/>
      <c r="H27" s="7"/>
      <c r="I27" s="2"/>
      <c r="J27" s="9"/>
      <c r="K27" s="2"/>
      <c r="L27" s="2"/>
      <c r="M27" s="2"/>
    </row>
    <row r="28">
      <c r="A28" s="24" t="s">
        <v>646</v>
      </c>
      <c r="B28" s="25"/>
      <c r="C28" s="25"/>
      <c r="D28" s="26"/>
      <c r="E28" s="2"/>
      <c r="F28" s="2"/>
      <c r="G28" s="2"/>
      <c r="H28" s="7"/>
      <c r="I28" s="2"/>
      <c r="J28" s="9"/>
      <c r="K28" s="2"/>
      <c r="L28" s="2"/>
      <c r="M28" s="2"/>
    </row>
    <row r="29">
      <c r="A29" s="2">
        <v>13.0</v>
      </c>
      <c r="B29" s="2" t="s">
        <v>14</v>
      </c>
      <c r="C29" s="2" t="s">
        <v>277</v>
      </c>
      <c r="D29" s="4" t="s">
        <v>16</v>
      </c>
      <c r="E29" s="2" t="s">
        <v>55</v>
      </c>
      <c r="F29" s="2" t="s">
        <v>24</v>
      </c>
      <c r="G29" s="2" t="s">
        <v>25</v>
      </c>
      <c r="H29" s="7" t="s">
        <v>675</v>
      </c>
      <c r="I29" s="2" t="s">
        <v>280</v>
      </c>
      <c r="J29" s="9" t="s">
        <v>29</v>
      </c>
      <c r="K29" s="2" t="s">
        <v>115</v>
      </c>
      <c r="L29" s="2" t="s">
        <v>281</v>
      </c>
      <c r="M29" s="2"/>
    </row>
    <row r="30">
      <c r="A30" s="2">
        <v>16.0</v>
      </c>
      <c r="B30" s="2" t="s">
        <v>14</v>
      </c>
      <c r="C30" s="2" t="s">
        <v>294</v>
      </c>
      <c r="D30" s="20" t="s">
        <v>16</v>
      </c>
      <c r="E30" s="2" t="s">
        <v>254</v>
      </c>
      <c r="F30" s="2" t="s">
        <v>191</v>
      </c>
      <c r="G30" s="2" t="s">
        <v>295</v>
      </c>
      <c r="H30" s="7" t="s">
        <v>692</v>
      </c>
      <c r="I30" s="2" t="s">
        <v>297</v>
      </c>
      <c r="J30" s="9" t="s">
        <v>29</v>
      </c>
      <c r="K30" s="2"/>
      <c r="L30" s="2"/>
      <c r="M30" s="2"/>
    </row>
    <row r="31">
      <c r="A31" s="2">
        <v>19.0</v>
      </c>
      <c r="B31" s="2" t="s">
        <v>14</v>
      </c>
      <c r="C31" s="2" t="s">
        <v>308</v>
      </c>
      <c r="D31" s="4" t="s">
        <v>16</v>
      </c>
      <c r="E31" s="2" t="s">
        <v>254</v>
      </c>
      <c r="F31" s="2" t="s">
        <v>191</v>
      </c>
      <c r="G31" s="2" t="s">
        <v>295</v>
      </c>
      <c r="H31" s="7" t="s">
        <v>263</v>
      </c>
      <c r="I31" s="2" t="s">
        <v>310</v>
      </c>
      <c r="J31" s="9" t="s">
        <v>29</v>
      </c>
      <c r="K31" s="2"/>
      <c r="L31" s="2"/>
      <c r="M31" s="2"/>
    </row>
    <row r="32">
      <c r="A32" s="2">
        <v>35.0</v>
      </c>
      <c r="B32" s="2" t="s">
        <v>14</v>
      </c>
      <c r="C32" s="2" t="s">
        <v>393</v>
      </c>
      <c r="D32" s="4" t="s">
        <v>16</v>
      </c>
      <c r="E32" s="2" t="s">
        <v>254</v>
      </c>
      <c r="F32" s="2" t="s">
        <v>206</v>
      </c>
      <c r="G32" s="7" t="s">
        <v>351</v>
      </c>
      <c r="H32" s="7" t="s">
        <v>693</v>
      </c>
      <c r="I32" s="2" t="s">
        <v>394</v>
      </c>
      <c r="J32" s="9" t="s">
        <v>29</v>
      </c>
      <c r="K32" s="2"/>
      <c r="L32" s="2"/>
      <c r="M32" s="2"/>
    </row>
    <row r="33">
      <c r="A33" s="29">
        <v>87.0</v>
      </c>
      <c r="B33" s="2" t="s">
        <v>612</v>
      </c>
      <c r="C33" s="2" t="s">
        <v>613</v>
      </c>
      <c r="D33" s="4" t="s">
        <v>457</v>
      </c>
      <c r="E33" s="30"/>
      <c r="F33" s="2" t="s">
        <v>211</v>
      </c>
      <c r="G33" s="2" t="s">
        <v>284</v>
      </c>
      <c r="H33" s="7" t="s">
        <v>694</v>
      </c>
      <c r="I33" s="2" t="s">
        <v>614</v>
      </c>
      <c r="J33" s="12" t="s">
        <v>20</v>
      </c>
      <c r="K33" s="2" t="s">
        <v>467</v>
      </c>
      <c r="L33" s="2" t="s">
        <v>615</v>
      </c>
      <c r="M33" s="30"/>
      <c r="N33" s="31"/>
      <c r="O33" s="31"/>
      <c r="P33" s="31"/>
      <c r="Q33" s="31"/>
      <c r="R33" s="31"/>
      <c r="S33" s="31"/>
      <c r="T33" s="31"/>
      <c r="U33" s="31"/>
      <c r="V33" s="31"/>
      <c r="W33" s="31"/>
      <c r="X33" s="31"/>
      <c r="Y33" s="31"/>
      <c r="Z33" s="31"/>
    </row>
    <row r="34">
      <c r="A34" s="29">
        <v>96.0</v>
      </c>
      <c r="B34" s="2" t="s">
        <v>656</v>
      </c>
      <c r="C34" s="2" t="s">
        <v>657</v>
      </c>
      <c r="D34" s="4" t="s">
        <v>457</v>
      </c>
      <c r="E34" s="30"/>
      <c r="F34" s="2" t="s">
        <v>211</v>
      </c>
      <c r="G34" s="2" t="s">
        <v>284</v>
      </c>
      <c r="H34" s="7" t="s">
        <v>695</v>
      </c>
      <c r="I34" s="2" t="s">
        <v>659</v>
      </c>
      <c r="J34" s="9" t="s">
        <v>29</v>
      </c>
      <c r="K34" s="30"/>
      <c r="L34" s="30"/>
      <c r="M34" s="30"/>
      <c r="N34" s="31"/>
      <c r="O34" s="31"/>
      <c r="P34" s="31"/>
      <c r="Q34" s="31"/>
      <c r="R34" s="31"/>
      <c r="S34" s="31"/>
      <c r="T34" s="31"/>
      <c r="U34" s="31"/>
      <c r="V34" s="31"/>
      <c r="W34" s="31"/>
      <c r="X34" s="31"/>
      <c r="Y34" s="31"/>
      <c r="Z34" s="31"/>
    </row>
    <row r="35">
      <c r="A35" s="29">
        <v>97.0</v>
      </c>
      <c r="B35" s="2" t="s">
        <v>661</v>
      </c>
      <c r="C35" s="2" t="s">
        <v>662</v>
      </c>
      <c r="D35" s="4" t="s">
        <v>457</v>
      </c>
      <c r="E35" s="30"/>
      <c r="F35" s="2" t="s">
        <v>211</v>
      </c>
      <c r="G35" s="2" t="s">
        <v>284</v>
      </c>
      <c r="H35" s="7" t="s">
        <v>695</v>
      </c>
      <c r="I35" s="2" t="s">
        <v>664</v>
      </c>
      <c r="J35" s="12" t="s">
        <v>20</v>
      </c>
      <c r="K35" s="2" t="s">
        <v>467</v>
      </c>
      <c r="L35" s="2" t="s">
        <v>665</v>
      </c>
      <c r="M35" s="30"/>
      <c r="N35" s="31"/>
      <c r="O35" s="31"/>
      <c r="P35" s="31"/>
      <c r="Q35" s="31"/>
      <c r="R35" s="31"/>
      <c r="S35" s="31"/>
      <c r="T35" s="31"/>
      <c r="U35" s="31"/>
      <c r="V35" s="31"/>
      <c r="W35" s="31"/>
      <c r="X35" s="31"/>
      <c r="Y35" s="31"/>
      <c r="Z35" s="31"/>
    </row>
    <row r="36">
      <c r="A36" s="29">
        <v>99.0</v>
      </c>
      <c r="B36" s="2" t="s">
        <v>670</v>
      </c>
      <c r="C36" s="2" t="s">
        <v>671</v>
      </c>
      <c r="D36" s="4" t="s">
        <v>457</v>
      </c>
      <c r="E36" s="30"/>
      <c r="F36" s="2" t="s">
        <v>211</v>
      </c>
      <c r="G36" s="2" t="s">
        <v>284</v>
      </c>
      <c r="H36" s="7" t="s">
        <v>695</v>
      </c>
      <c r="I36" s="2" t="s">
        <v>673</v>
      </c>
      <c r="J36" s="9" t="s">
        <v>29</v>
      </c>
      <c r="K36" s="30"/>
      <c r="L36" s="30"/>
      <c r="M36" s="30"/>
      <c r="N36" s="31"/>
      <c r="O36" s="31"/>
      <c r="P36" s="31"/>
      <c r="Q36" s="31"/>
      <c r="R36" s="31"/>
      <c r="S36" s="31"/>
      <c r="T36" s="31"/>
      <c r="U36" s="31"/>
      <c r="V36" s="31"/>
      <c r="W36" s="31"/>
      <c r="X36" s="31"/>
      <c r="Y36" s="31"/>
      <c r="Z36" s="31"/>
    </row>
    <row r="37">
      <c r="A37" s="2">
        <v>58.0</v>
      </c>
      <c r="B37" s="2" t="s">
        <v>14</v>
      </c>
      <c r="C37" s="2" t="s">
        <v>502</v>
      </c>
      <c r="D37" s="4" t="s">
        <v>16</v>
      </c>
      <c r="E37" s="2" t="s">
        <v>487</v>
      </c>
      <c r="F37" s="2" t="s">
        <v>115</v>
      </c>
      <c r="G37" s="2" t="s">
        <v>488</v>
      </c>
      <c r="H37" s="7" t="s">
        <v>695</v>
      </c>
      <c r="I37" s="2" t="s">
        <v>504</v>
      </c>
      <c r="J37" s="9" t="s">
        <v>29</v>
      </c>
      <c r="K37" s="2"/>
      <c r="L37" s="2"/>
      <c r="M37" s="2"/>
    </row>
    <row r="38">
      <c r="A38" s="2">
        <v>28.0</v>
      </c>
      <c r="B38" s="2" t="s">
        <v>14</v>
      </c>
      <c r="C38" s="2" t="s">
        <v>350</v>
      </c>
      <c r="D38" s="4" t="s">
        <v>16</v>
      </c>
      <c r="E38" s="2" t="s">
        <v>254</v>
      </c>
      <c r="F38" s="2" t="s">
        <v>206</v>
      </c>
      <c r="G38" s="7" t="s">
        <v>351</v>
      </c>
      <c r="H38" s="7" t="s">
        <v>324</v>
      </c>
      <c r="I38" s="2" t="s">
        <v>353</v>
      </c>
      <c r="J38" s="9" t="s">
        <v>29</v>
      </c>
      <c r="K38" s="2"/>
      <c r="L38" s="7" t="s">
        <v>354</v>
      </c>
      <c r="M38" s="2"/>
    </row>
    <row r="39">
      <c r="A39" s="2">
        <v>31.0</v>
      </c>
      <c r="B39" s="2" t="s">
        <v>14</v>
      </c>
      <c r="C39" s="2" t="s">
        <v>369</v>
      </c>
      <c r="D39" s="4" t="s">
        <v>16</v>
      </c>
      <c r="E39" s="2" t="s">
        <v>254</v>
      </c>
      <c r="F39" s="2" t="s">
        <v>206</v>
      </c>
      <c r="G39" s="7" t="s">
        <v>351</v>
      </c>
      <c r="H39" s="7" t="s">
        <v>696</v>
      </c>
      <c r="I39" s="2" t="s">
        <v>372</v>
      </c>
      <c r="J39" s="9" t="s">
        <v>29</v>
      </c>
      <c r="K39" s="2"/>
      <c r="L39" s="2"/>
      <c r="M39" s="2"/>
    </row>
    <row r="40">
      <c r="A40" s="24" t="s">
        <v>697</v>
      </c>
      <c r="B40" s="25"/>
      <c r="C40" s="25"/>
      <c r="D40" s="26"/>
      <c r="E40" s="2"/>
      <c r="F40" s="2"/>
      <c r="G40" s="2"/>
      <c r="H40" s="7"/>
      <c r="I40" s="2"/>
      <c r="J40" s="9"/>
      <c r="K40" s="2"/>
      <c r="L40" s="2"/>
      <c r="M40" s="2"/>
    </row>
    <row r="41">
      <c r="A41" s="2">
        <v>38.0</v>
      </c>
      <c r="B41" s="2" t="s">
        <v>14</v>
      </c>
      <c r="C41" s="2" t="s">
        <v>402</v>
      </c>
      <c r="D41" s="4" t="s">
        <v>16</v>
      </c>
      <c r="E41" s="2" t="s">
        <v>55</v>
      </c>
      <c r="F41" s="2" t="s">
        <v>206</v>
      </c>
      <c r="G41" s="7" t="s">
        <v>351</v>
      </c>
      <c r="H41" s="7" t="s">
        <v>698</v>
      </c>
      <c r="I41" s="2" t="s">
        <v>404</v>
      </c>
      <c r="J41" s="9" t="s">
        <v>29</v>
      </c>
      <c r="K41" s="2" t="s">
        <v>115</v>
      </c>
      <c r="L41" s="2" t="s">
        <v>405</v>
      </c>
      <c r="M41" s="2"/>
    </row>
    <row r="42">
      <c r="A42" s="2">
        <v>42.0</v>
      </c>
      <c r="B42" s="2" t="s">
        <v>14</v>
      </c>
      <c r="C42" s="2" t="s">
        <v>420</v>
      </c>
      <c r="D42" s="4" t="s">
        <v>16</v>
      </c>
      <c r="E42" s="2" t="s">
        <v>254</v>
      </c>
      <c r="F42" s="2" t="s">
        <v>206</v>
      </c>
      <c r="G42" s="7" t="s">
        <v>351</v>
      </c>
      <c r="H42" s="7" t="s">
        <v>699</v>
      </c>
      <c r="I42" s="2" t="s">
        <v>423</v>
      </c>
      <c r="J42" s="9" t="s">
        <v>29</v>
      </c>
      <c r="K42" s="2"/>
      <c r="L42" s="7" t="s">
        <v>424</v>
      </c>
      <c r="M42" s="2"/>
    </row>
    <row r="43">
      <c r="A43" s="2">
        <v>54.0</v>
      </c>
      <c r="B43" s="2" t="s">
        <v>14</v>
      </c>
      <c r="C43" s="2" t="s">
        <v>486</v>
      </c>
      <c r="D43" s="4" t="s">
        <v>16</v>
      </c>
      <c r="E43" s="2" t="s">
        <v>487</v>
      </c>
      <c r="F43" s="2" t="s">
        <v>115</v>
      </c>
      <c r="G43" s="2" t="s">
        <v>488</v>
      </c>
      <c r="H43" s="7" t="s">
        <v>699</v>
      </c>
      <c r="I43" s="2" t="s">
        <v>490</v>
      </c>
      <c r="J43" s="9" t="s">
        <v>29</v>
      </c>
      <c r="K43" s="2"/>
      <c r="L43" s="2"/>
      <c r="M43" s="2"/>
    </row>
    <row r="44">
      <c r="A44" s="2">
        <v>55.0</v>
      </c>
      <c r="B44" s="2" t="s">
        <v>14</v>
      </c>
      <c r="C44" s="2" t="s">
        <v>492</v>
      </c>
      <c r="D44" s="4" t="s">
        <v>16</v>
      </c>
      <c r="E44" s="2" t="s">
        <v>487</v>
      </c>
      <c r="F44" s="2" t="s">
        <v>115</v>
      </c>
      <c r="G44" s="2" t="s">
        <v>488</v>
      </c>
      <c r="H44" s="7" t="s">
        <v>699</v>
      </c>
      <c r="I44" s="2" t="s">
        <v>494</v>
      </c>
      <c r="J44" s="9" t="s">
        <v>29</v>
      </c>
      <c r="K44" s="2"/>
      <c r="L44" s="2"/>
      <c r="M44" s="2"/>
    </row>
    <row r="45">
      <c r="A45" s="2">
        <v>56.0</v>
      </c>
      <c r="B45" s="2" t="s">
        <v>14</v>
      </c>
      <c r="C45" s="2" t="s">
        <v>495</v>
      </c>
      <c r="D45" s="20" t="s">
        <v>16</v>
      </c>
      <c r="E45" s="2" t="s">
        <v>487</v>
      </c>
      <c r="F45" s="2" t="s">
        <v>115</v>
      </c>
      <c r="G45" s="2" t="s">
        <v>488</v>
      </c>
      <c r="H45" s="7" t="s">
        <v>699</v>
      </c>
      <c r="I45" s="2" t="s">
        <v>497</v>
      </c>
      <c r="J45" s="9" t="s">
        <v>29</v>
      </c>
      <c r="K45" s="2"/>
      <c r="L45" s="2"/>
      <c r="M45" s="2"/>
    </row>
    <row r="46">
      <c r="A46" s="2">
        <v>57.0</v>
      </c>
      <c r="B46" s="2" t="s">
        <v>14</v>
      </c>
      <c r="C46" s="2" t="s">
        <v>499</v>
      </c>
      <c r="D46" s="4" t="s">
        <v>16</v>
      </c>
      <c r="E46" s="2" t="s">
        <v>487</v>
      </c>
      <c r="F46" s="2" t="s">
        <v>115</v>
      </c>
      <c r="G46" s="2" t="s">
        <v>488</v>
      </c>
      <c r="H46" s="7" t="s">
        <v>699</v>
      </c>
      <c r="I46" s="2" t="s">
        <v>501</v>
      </c>
      <c r="J46" s="9" t="s">
        <v>29</v>
      </c>
      <c r="K46" s="2"/>
      <c r="L46" s="2"/>
      <c r="M46" s="2"/>
    </row>
    <row r="47">
      <c r="A47" s="28"/>
      <c r="B47" s="28"/>
      <c r="C47" s="28"/>
      <c r="D47" s="28"/>
      <c r="E47" s="2"/>
      <c r="F47" s="2"/>
      <c r="G47" s="2"/>
      <c r="H47" s="7"/>
      <c r="I47" s="2"/>
      <c r="J47" s="9"/>
      <c r="K47" s="2"/>
      <c r="L47" s="2"/>
      <c r="M47" s="2"/>
    </row>
    <row r="48">
      <c r="A48" s="24" t="s">
        <v>700</v>
      </c>
      <c r="B48" s="25"/>
      <c r="C48" s="25"/>
      <c r="D48" s="26"/>
      <c r="E48" s="2"/>
      <c r="F48" s="2"/>
      <c r="G48" s="2"/>
      <c r="H48" s="7"/>
      <c r="I48" s="2"/>
      <c r="J48" s="9"/>
      <c r="K48" s="2"/>
      <c r="L48" s="2"/>
      <c r="M48" s="2"/>
    </row>
    <row r="49">
      <c r="A49" s="2">
        <v>2.0</v>
      </c>
      <c r="B49" s="2" t="s">
        <v>14</v>
      </c>
      <c r="C49" s="2" t="s">
        <v>37</v>
      </c>
      <c r="D49" s="4" t="s">
        <v>16</v>
      </c>
      <c r="E49" s="2" t="s">
        <v>55</v>
      </c>
      <c r="F49" s="2" t="s">
        <v>24</v>
      </c>
      <c r="G49" s="2" t="s">
        <v>25</v>
      </c>
      <c r="H49" s="7" t="s">
        <v>700</v>
      </c>
      <c r="I49" s="2" t="s">
        <v>60</v>
      </c>
      <c r="J49" s="9" t="s">
        <v>29</v>
      </c>
      <c r="K49" s="2"/>
      <c r="L49" s="2"/>
      <c r="M49" s="2"/>
    </row>
    <row r="50">
      <c r="A50" s="2">
        <v>41.0</v>
      </c>
      <c r="B50" s="2" t="s">
        <v>14</v>
      </c>
      <c r="C50" s="2" t="s">
        <v>414</v>
      </c>
      <c r="D50" s="4" t="s">
        <v>16</v>
      </c>
      <c r="E50" s="2" t="s">
        <v>23</v>
      </c>
      <c r="F50" s="2" t="s">
        <v>206</v>
      </c>
      <c r="G50" s="7" t="s">
        <v>351</v>
      </c>
      <c r="H50" s="7" t="s">
        <v>701</v>
      </c>
      <c r="I50" s="2" t="s">
        <v>416</v>
      </c>
      <c r="J50" s="12" t="s">
        <v>20</v>
      </c>
      <c r="K50" s="2" t="s">
        <v>417</v>
      </c>
      <c r="L50" s="2" t="s">
        <v>418</v>
      </c>
      <c r="M50" s="2"/>
    </row>
    <row r="51">
      <c r="A51" s="24" t="s">
        <v>702</v>
      </c>
      <c r="B51" s="25"/>
      <c r="C51" s="25"/>
      <c r="D51" s="26"/>
      <c r="E51" s="2"/>
      <c r="F51" s="2"/>
      <c r="G51" s="2"/>
      <c r="H51" s="7"/>
      <c r="I51" s="2"/>
      <c r="J51" s="9"/>
      <c r="K51" s="2"/>
      <c r="L51" s="2"/>
      <c r="M51" s="2"/>
    </row>
    <row r="52">
      <c r="A52" s="2">
        <v>76.0</v>
      </c>
      <c r="B52" s="2" t="s">
        <v>558</v>
      </c>
      <c r="C52" s="2" t="s">
        <v>559</v>
      </c>
      <c r="D52" s="4" t="s">
        <v>457</v>
      </c>
      <c r="E52" s="2"/>
      <c r="F52" s="2" t="s">
        <v>211</v>
      </c>
      <c r="G52" s="2" t="s">
        <v>284</v>
      </c>
      <c r="H52" s="7" t="s">
        <v>703</v>
      </c>
      <c r="I52" s="2" t="s">
        <v>560</v>
      </c>
      <c r="J52" s="12" t="s">
        <v>20</v>
      </c>
      <c r="K52" s="2" t="s">
        <v>467</v>
      </c>
      <c r="L52" s="2" t="s">
        <v>561</v>
      </c>
      <c r="M52" s="2"/>
    </row>
    <row r="53">
      <c r="A53" s="2">
        <v>47.0</v>
      </c>
      <c r="B53" s="2" t="s">
        <v>14</v>
      </c>
      <c r="C53" s="2" t="s">
        <v>446</v>
      </c>
      <c r="D53" s="4" t="s">
        <v>16</v>
      </c>
      <c r="E53" s="2" t="s">
        <v>254</v>
      </c>
      <c r="F53" s="2" t="s">
        <v>211</v>
      </c>
      <c r="G53" s="2" t="s">
        <v>284</v>
      </c>
      <c r="H53" s="7" t="s">
        <v>704</v>
      </c>
      <c r="I53" s="7" t="s">
        <v>705</v>
      </c>
      <c r="J53" s="9" t="s">
        <v>29</v>
      </c>
      <c r="K53" s="2"/>
      <c r="L53" s="7" t="s">
        <v>706</v>
      </c>
      <c r="M53" s="2"/>
    </row>
    <row r="54">
      <c r="A54" s="23">
        <v>46.0</v>
      </c>
      <c r="B54" s="23" t="s">
        <v>14</v>
      </c>
      <c r="C54" s="23" t="s">
        <v>439</v>
      </c>
      <c r="D54" s="32" t="s">
        <v>16</v>
      </c>
      <c r="E54" s="23" t="s">
        <v>441</v>
      </c>
      <c r="F54" s="23" t="s">
        <v>211</v>
      </c>
      <c r="G54" s="23" t="s">
        <v>284</v>
      </c>
      <c r="H54" s="33" t="s">
        <v>707</v>
      </c>
      <c r="I54" s="23" t="s">
        <v>443</v>
      </c>
      <c r="J54" s="34" t="s">
        <v>29</v>
      </c>
      <c r="K54" s="23"/>
      <c r="L54" s="33" t="s">
        <v>708</v>
      </c>
      <c r="M54" s="23"/>
    </row>
    <row r="55">
      <c r="A55" s="2">
        <v>85.0</v>
      </c>
      <c r="B55" s="2" t="s">
        <v>602</v>
      </c>
      <c r="C55" s="2" t="s">
        <v>603</v>
      </c>
      <c r="D55" s="4" t="s">
        <v>457</v>
      </c>
      <c r="E55" s="2"/>
      <c r="F55" s="2" t="s">
        <v>211</v>
      </c>
      <c r="G55" s="2" t="s">
        <v>284</v>
      </c>
      <c r="H55" s="7" t="s">
        <v>702</v>
      </c>
      <c r="I55" s="2" t="s">
        <v>604</v>
      </c>
      <c r="J55" s="12" t="s">
        <v>20</v>
      </c>
      <c r="K55" s="2" t="s">
        <v>467</v>
      </c>
      <c r="L55" s="2" t="s">
        <v>605</v>
      </c>
      <c r="M55" s="2"/>
    </row>
    <row r="56">
      <c r="A56" s="2">
        <v>92.0</v>
      </c>
      <c r="B56" s="2" t="s">
        <v>637</v>
      </c>
      <c r="C56" s="2" t="s">
        <v>633</v>
      </c>
      <c r="D56" s="4" t="s">
        <v>457</v>
      </c>
      <c r="E56" s="2"/>
      <c r="F56" s="2" t="s">
        <v>211</v>
      </c>
      <c r="G56" s="2" t="s">
        <v>284</v>
      </c>
      <c r="H56" s="7" t="s">
        <v>702</v>
      </c>
      <c r="I56" s="2" t="s">
        <v>638</v>
      </c>
      <c r="J56" s="9" t="s">
        <v>29</v>
      </c>
      <c r="K56" s="2"/>
      <c r="L56" s="2"/>
      <c r="M56" s="2"/>
    </row>
    <row r="57">
      <c r="A57" s="2">
        <v>73.0</v>
      </c>
      <c r="B57" s="2" t="s">
        <v>542</v>
      </c>
      <c r="C57" s="2" t="s">
        <v>543</v>
      </c>
      <c r="D57" s="4" t="s">
        <v>457</v>
      </c>
      <c r="E57" s="2"/>
      <c r="F57" s="2" t="s">
        <v>211</v>
      </c>
      <c r="G57" s="2" t="s">
        <v>284</v>
      </c>
      <c r="H57" s="7" t="s">
        <v>709</v>
      </c>
      <c r="I57" s="2" t="s">
        <v>545</v>
      </c>
      <c r="J57" s="12" t="s">
        <v>20</v>
      </c>
      <c r="K57" s="2" t="s">
        <v>467</v>
      </c>
      <c r="L57" s="2" t="s">
        <v>546</v>
      </c>
      <c r="M57" s="2"/>
    </row>
    <row r="75">
      <c r="J75" s="35"/>
    </row>
    <row r="76">
      <c r="J76" s="35"/>
    </row>
    <row r="77">
      <c r="J77" s="35"/>
    </row>
    <row r="78">
      <c r="J78" s="35"/>
    </row>
    <row r="79">
      <c r="J79" s="35"/>
    </row>
    <row r="80">
      <c r="J80" s="35"/>
    </row>
    <row r="81">
      <c r="J81" s="35"/>
    </row>
    <row r="82">
      <c r="J82" s="35"/>
    </row>
    <row r="83">
      <c r="J83" s="35"/>
    </row>
    <row r="84">
      <c r="J84" s="35"/>
    </row>
    <row r="85">
      <c r="J85" s="35"/>
    </row>
    <row r="86">
      <c r="J86" s="35"/>
    </row>
    <row r="87">
      <c r="J87" s="35"/>
    </row>
    <row r="88">
      <c r="J88" s="35"/>
    </row>
    <row r="89">
      <c r="J89" s="35"/>
    </row>
    <row r="90">
      <c r="J90" s="35"/>
    </row>
    <row r="91">
      <c r="J91" s="35"/>
    </row>
    <row r="92">
      <c r="J92" s="35"/>
    </row>
    <row r="93">
      <c r="J93" s="35"/>
    </row>
    <row r="94">
      <c r="J94" s="35"/>
    </row>
    <row r="95">
      <c r="J95" s="35"/>
    </row>
    <row r="96">
      <c r="J96" s="35"/>
    </row>
    <row r="97">
      <c r="J97" s="35"/>
    </row>
    <row r="98">
      <c r="J98" s="35"/>
    </row>
    <row r="99">
      <c r="J99" s="35"/>
    </row>
    <row r="100">
      <c r="J100" s="35"/>
    </row>
    <row r="101">
      <c r="J101" s="35"/>
    </row>
    <row r="102">
      <c r="J102" s="35"/>
    </row>
    <row r="103">
      <c r="J103" s="35"/>
    </row>
    <row r="104">
      <c r="J104" s="35"/>
    </row>
    <row r="105">
      <c r="J105" s="35"/>
    </row>
    <row r="106">
      <c r="J106" s="35"/>
    </row>
    <row r="107">
      <c r="J107" s="35"/>
    </row>
    <row r="108">
      <c r="J108" s="35"/>
    </row>
    <row r="109">
      <c r="J109" s="35"/>
    </row>
    <row r="110">
      <c r="J110" s="35"/>
    </row>
    <row r="111">
      <c r="J111" s="35"/>
    </row>
    <row r="112">
      <c r="J112" s="35"/>
    </row>
    <row r="113">
      <c r="J113" s="35"/>
    </row>
    <row r="114">
      <c r="J114" s="35"/>
    </row>
    <row r="115">
      <c r="J115" s="35"/>
    </row>
    <row r="116">
      <c r="J116" s="35"/>
    </row>
    <row r="117">
      <c r="J117" s="35"/>
    </row>
    <row r="118">
      <c r="J118" s="35"/>
    </row>
    <row r="119">
      <c r="J119" s="35"/>
    </row>
    <row r="120">
      <c r="J120" s="35"/>
    </row>
    <row r="121">
      <c r="J121" s="35"/>
    </row>
    <row r="122">
      <c r="J122" s="35"/>
    </row>
    <row r="123">
      <c r="J123" s="35"/>
    </row>
    <row r="124">
      <c r="J124" s="35"/>
    </row>
    <row r="125">
      <c r="J125" s="35"/>
    </row>
    <row r="126">
      <c r="J126" s="35"/>
    </row>
    <row r="127">
      <c r="J127" s="35"/>
    </row>
    <row r="128">
      <c r="J128" s="35"/>
    </row>
    <row r="129">
      <c r="J129" s="35"/>
    </row>
    <row r="130">
      <c r="J130" s="35"/>
    </row>
    <row r="131">
      <c r="J131" s="35"/>
    </row>
    <row r="132">
      <c r="J132" s="35"/>
    </row>
    <row r="133">
      <c r="J133" s="35"/>
    </row>
    <row r="134">
      <c r="J134" s="35"/>
    </row>
    <row r="135">
      <c r="J135" s="35"/>
    </row>
    <row r="136">
      <c r="J136" s="35"/>
    </row>
    <row r="137">
      <c r="J137" s="35"/>
    </row>
    <row r="138">
      <c r="J138" s="35"/>
    </row>
    <row r="139">
      <c r="J139" s="35"/>
    </row>
    <row r="140">
      <c r="J140" s="35"/>
    </row>
    <row r="141">
      <c r="J141" s="35"/>
    </row>
    <row r="142">
      <c r="J142" s="35"/>
    </row>
    <row r="143">
      <c r="J143" s="35"/>
    </row>
    <row r="144">
      <c r="J144" s="35"/>
    </row>
    <row r="145">
      <c r="J145" s="35"/>
    </row>
    <row r="146">
      <c r="J146" s="35"/>
    </row>
    <row r="147">
      <c r="J147" s="35"/>
    </row>
    <row r="148">
      <c r="J148" s="35"/>
    </row>
    <row r="149">
      <c r="J149" s="35"/>
    </row>
    <row r="150">
      <c r="J150" s="35"/>
    </row>
    <row r="151">
      <c r="J151" s="35"/>
    </row>
    <row r="152">
      <c r="J152" s="35"/>
    </row>
    <row r="153">
      <c r="J153" s="35"/>
    </row>
    <row r="154">
      <c r="J154" s="35"/>
    </row>
    <row r="155">
      <c r="J155" s="35"/>
    </row>
    <row r="156">
      <c r="J156" s="35"/>
    </row>
    <row r="157">
      <c r="J157" s="35"/>
    </row>
    <row r="158">
      <c r="J158" s="35"/>
    </row>
    <row r="159">
      <c r="J159" s="35"/>
    </row>
    <row r="160">
      <c r="J160" s="35"/>
    </row>
    <row r="161">
      <c r="J161" s="35"/>
    </row>
    <row r="162">
      <c r="J162" s="35"/>
    </row>
    <row r="163">
      <c r="J163" s="35"/>
    </row>
    <row r="164">
      <c r="J164" s="35"/>
    </row>
    <row r="165">
      <c r="J165" s="35"/>
    </row>
    <row r="166">
      <c r="J166" s="35"/>
    </row>
    <row r="167">
      <c r="J167" s="35"/>
    </row>
    <row r="168">
      <c r="J168" s="35"/>
    </row>
    <row r="169">
      <c r="J169" s="35"/>
    </row>
    <row r="170">
      <c r="J170" s="35"/>
    </row>
    <row r="171">
      <c r="J171" s="35"/>
    </row>
    <row r="172">
      <c r="J172" s="35"/>
    </row>
    <row r="173">
      <c r="J173" s="35"/>
    </row>
    <row r="174">
      <c r="J174" s="35"/>
    </row>
    <row r="175">
      <c r="J175" s="35"/>
    </row>
    <row r="176">
      <c r="J176" s="35"/>
    </row>
    <row r="177">
      <c r="J177" s="35"/>
    </row>
    <row r="178">
      <c r="J178" s="35"/>
    </row>
    <row r="179">
      <c r="J179" s="35"/>
    </row>
    <row r="180">
      <c r="J180" s="35"/>
    </row>
    <row r="181">
      <c r="J181" s="35"/>
    </row>
    <row r="182">
      <c r="J182" s="35"/>
    </row>
    <row r="183">
      <c r="J183" s="35"/>
    </row>
    <row r="184">
      <c r="J184" s="35"/>
    </row>
    <row r="185">
      <c r="J185" s="35"/>
    </row>
    <row r="186">
      <c r="J186" s="35"/>
    </row>
    <row r="187">
      <c r="J187" s="35"/>
    </row>
    <row r="188">
      <c r="J188" s="35"/>
    </row>
    <row r="189">
      <c r="J189" s="35"/>
    </row>
    <row r="190">
      <c r="J190" s="35"/>
    </row>
    <row r="191">
      <c r="J191" s="35"/>
    </row>
    <row r="192">
      <c r="J192" s="35"/>
    </row>
    <row r="193">
      <c r="J193" s="35"/>
    </row>
    <row r="194">
      <c r="J194" s="35"/>
    </row>
    <row r="195">
      <c r="J195" s="35"/>
    </row>
    <row r="196">
      <c r="J196" s="35"/>
    </row>
    <row r="197">
      <c r="J197" s="35"/>
    </row>
    <row r="198">
      <c r="J198" s="35"/>
    </row>
    <row r="199">
      <c r="J199" s="35"/>
    </row>
    <row r="200">
      <c r="J200" s="35"/>
    </row>
    <row r="201">
      <c r="J201" s="35"/>
    </row>
    <row r="202">
      <c r="J202" s="35"/>
    </row>
    <row r="203">
      <c r="J203" s="35"/>
    </row>
    <row r="204">
      <c r="J204" s="35"/>
    </row>
    <row r="205">
      <c r="J205" s="35"/>
    </row>
    <row r="206">
      <c r="J206" s="35"/>
    </row>
    <row r="207">
      <c r="J207" s="35"/>
    </row>
    <row r="208">
      <c r="J208" s="35"/>
    </row>
    <row r="209">
      <c r="J209" s="35"/>
    </row>
    <row r="210">
      <c r="J210" s="35"/>
    </row>
    <row r="211">
      <c r="J211" s="35"/>
    </row>
    <row r="212">
      <c r="J212" s="35"/>
    </row>
    <row r="213">
      <c r="J213" s="35"/>
    </row>
    <row r="214">
      <c r="J214" s="35"/>
    </row>
    <row r="215">
      <c r="J215" s="35"/>
    </row>
    <row r="216">
      <c r="J216" s="35"/>
    </row>
    <row r="217">
      <c r="J217" s="35"/>
    </row>
    <row r="218">
      <c r="J218" s="35"/>
    </row>
    <row r="219">
      <c r="J219" s="35"/>
    </row>
    <row r="220">
      <c r="J220" s="35"/>
    </row>
    <row r="221">
      <c r="J221" s="35"/>
    </row>
    <row r="222">
      <c r="J222" s="35"/>
    </row>
    <row r="223">
      <c r="J223" s="35"/>
    </row>
    <row r="224">
      <c r="J224" s="35"/>
    </row>
    <row r="225">
      <c r="J225" s="35"/>
    </row>
    <row r="226">
      <c r="J226" s="35"/>
    </row>
    <row r="227">
      <c r="J227" s="35"/>
    </row>
    <row r="228">
      <c r="J228" s="35"/>
    </row>
    <row r="229">
      <c r="J229" s="35"/>
    </row>
    <row r="230">
      <c r="J230" s="35"/>
    </row>
    <row r="231">
      <c r="J231" s="35"/>
    </row>
    <row r="232">
      <c r="J232" s="35"/>
    </row>
    <row r="233">
      <c r="J233" s="35"/>
    </row>
    <row r="234">
      <c r="J234" s="35"/>
    </row>
    <row r="235">
      <c r="J235" s="35"/>
    </row>
    <row r="236">
      <c r="J236" s="35"/>
    </row>
    <row r="237">
      <c r="J237" s="35"/>
    </row>
    <row r="238">
      <c r="J238" s="35"/>
    </row>
    <row r="239">
      <c r="J239" s="35"/>
    </row>
    <row r="240">
      <c r="J240" s="35"/>
    </row>
    <row r="241">
      <c r="J241" s="35"/>
    </row>
    <row r="242">
      <c r="J242" s="35"/>
    </row>
    <row r="243">
      <c r="J243" s="35"/>
    </row>
    <row r="244">
      <c r="J244" s="35"/>
    </row>
    <row r="245">
      <c r="J245" s="35"/>
    </row>
    <row r="246">
      <c r="J246" s="35"/>
    </row>
    <row r="247">
      <c r="J247" s="35"/>
    </row>
    <row r="248">
      <c r="J248" s="35"/>
    </row>
    <row r="249">
      <c r="J249" s="35"/>
    </row>
    <row r="250">
      <c r="J250" s="35"/>
    </row>
    <row r="251">
      <c r="J251" s="35"/>
    </row>
    <row r="252">
      <c r="J252" s="35"/>
    </row>
    <row r="253">
      <c r="J253" s="35"/>
    </row>
    <row r="254">
      <c r="J254" s="35"/>
    </row>
    <row r="255">
      <c r="J255" s="35"/>
    </row>
    <row r="256">
      <c r="J256" s="35"/>
    </row>
    <row r="257">
      <c r="J257" s="35"/>
    </row>
    <row r="258">
      <c r="J258" s="35"/>
    </row>
    <row r="259">
      <c r="J259" s="35"/>
    </row>
    <row r="260">
      <c r="J260" s="35"/>
    </row>
    <row r="261">
      <c r="J261" s="35"/>
    </row>
    <row r="262">
      <c r="J262" s="35"/>
    </row>
    <row r="263">
      <c r="J263" s="35"/>
    </row>
    <row r="264">
      <c r="J264" s="35"/>
    </row>
    <row r="265">
      <c r="J265" s="35"/>
    </row>
    <row r="266">
      <c r="J266" s="35"/>
    </row>
    <row r="267">
      <c r="J267" s="35"/>
    </row>
    <row r="268">
      <c r="J268" s="35"/>
    </row>
    <row r="269">
      <c r="J269" s="35"/>
    </row>
    <row r="270">
      <c r="J270" s="35"/>
    </row>
    <row r="271">
      <c r="J271" s="35"/>
    </row>
    <row r="272">
      <c r="J272" s="35"/>
    </row>
    <row r="273">
      <c r="J273" s="35"/>
    </row>
    <row r="274">
      <c r="J274" s="35"/>
    </row>
    <row r="275">
      <c r="J275" s="35"/>
    </row>
    <row r="276">
      <c r="J276" s="35"/>
    </row>
    <row r="277">
      <c r="J277" s="35"/>
    </row>
    <row r="278">
      <c r="J278" s="35"/>
    </row>
    <row r="279">
      <c r="J279" s="35"/>
    </row>
    <row r="280">
      <c r="J280" s="35"/>
    </row>
    <row r="281">
      <c r="J281" s="35"/>
    </row>
    <row r="282">
      <c r="J282" s="35"/>
    </row>
    <row r="283">
      <c r="J283" s="35"/>
    </row>
    <row r="284">
      <c r="J284" s="35"/>
    </row>
    <row r="285">
      <c r="J285" s="35"/>
    </row>
    <row r="286">
      <c r="J286" s="35"/>
    </row>
    <row r="287">
      <c r="J287" s="35"/>
    </row>
    <row r="288">
      <c r="J288" s="35"/>
    </row>
    <row r="289">
      <c r="J289" s="35"/>
    </row>
    <row r="290">
      <c r="J290" s="35"/>
    </row>
    <row r="291">
      <c r="J291" s="35"/>
    </row>
    <row r="292">
      <c r="J292" s="35"/>
    </row>
    <row r="293">
      <c r="J293" s="35"/>
    </row>
    <row r="294">
      <c r="J294" s="35"/>
    </row>
    <row r="295">
      <c r="J295" s="35"/>
    </row>
    <row r="296">
      <c r="J296" s="35"/>
    </row>
    <row r="297">
      <c r="J297" s="35"/>
    </row>
    <row r="298">
      <c r="J298" s="35"/>
    </row>
    <row r="299">
      <c r="J299" s="35"/>
    </row>
    <row r="300">
      <c r="J300" s="35"/>
    </row>
    <row r="301">
      <c r="J301" s="35"/>
    </row>
    <row r="302">
      <c r="J302" s="35"/>
    </row>
    <row r="303">
      <c r="J303" s="35"/>
    </row>
    <row r="304">
      <c r="J304" s="35"/>
    </row>
    <row r="305">
      <c r="J305" s="35"/>
    </row>
    <row r="306">
      <c r="J306" s="35"/>
    </row>
    <row r="307">
      <c r="J307" s="35"/>
    </row>
    <row r="308">
      <c r="J308" s="35"/>
    </row>
    <row r="309">
      <c r="J309" s="35"/>
    </row>
    <row r="310">
      <c r="J310" s="35"/>
    </row>
    <row r="311">
      <c r="J311" s="35"/>
    </row>
    <row r="312">
      <c r="J312" s="35"/>
    </row>
    <row r="313">
      <c r="J313" s="35"/>
    </row>
    <row r="314">
      <c r="J314" s="35"/>
    </row>
    <row r="315">
      <c r="J315" s="35"/>
    </row>
    <row r="316">
      <c r="J316" s="35"/>
    </row>
    <row r="317">
      <c r="J317" s="35"/>
    </row>
    <row r="318">
      <c r="J318" s="35"/>
    </row>
    <row r="319">
      <c r="J319" s="35"/>
    </row>
    <row r="320">
      <c r="J320" s="35"/>
    </row>
    <row r="321">
      <c r="J321" s="35"/>
    </row>
    <row r="322">
      <c r="J322" s="35"/>
    </row>
    <row r="323">
      <c r="J323" s="35"/>
    </row>
    <row r="324">
      <c r="J324" s="35"/>
    </row>
    <row r="325">
      <c r="J325" s="35"/>
    </row>
    <row r="326">
      <c r="J326" s="35"/>
    </row>
    <row r="327">
      <c r="J327" s="35"/>
    </row>
    <row r="328">
      <c r="J328" s="35"/>
    </row>
    <row r="329">
      <c r="J329" s="35"/>
    </row>
    <row r="330">
      <c r="J330" s="35"/>
    </row>
    <row r="331">
      <c r="J331" s="35"/>
    </row>
    <row r="332">
      <c r="J332" s="35"/>
    </row>
    <row r="333">
      <c r="J333" s="35"/>
    </row>
    <row r="334">
      <c r="J334" s="35"/>
    </row>
    <row r="335">
      <c r="J335" s="35"/>
    </row>
    <row r="336">
      <c r="J336" s="35"/>
    </row>
    <row r="337">
      <c r="J337" s="35"/>
    </row>
    <row r="338">
      <c r="J338" s="35"/>
    </row>
    <row r="339">
      <c r="J339" s="35"/>
    </row>
    <row r="340">
      <c r="J340" s="35"/>
    </row>
    <row r="341">
      <c r="J341" s="35"/>
    </row>
    <row r="342">
      <c r="J342" s="35"/>
    </row>
    <row r="343">
      <c r="J343" s="35"/>
    </row>
    <row r="344">
      <c r="J344" s="35"/>
    </row>
    <row r="345">
      <c r="J345" s="35"/>
    </row>
    <row r="346">
      <c r="J346" s="35"/>
    </row>
    <row r="347">
      <c r="J347" s="35"/>
    </row>
    <row r="348">
      <c r="J348" s="35"/>
    </row>
    <row r="349">
      <c r="J349" s="35"/>
    </row>
    <row r="350">
      <c r="J350" s="35"/>
    </row>
    <row r="351">
      <c r="J351" s="35"/>
    </row>
    <row r="352">
      <c r="J352" s="35"/>
    </row>
    <row r="353">
      <c r="J353" s="35"/>
    </row>
    <row r="354">
      <c r="J354" s="35"/>
    </row>
    <row r="355">
      <c r="J355" s="35"/>
    </row>
    <row r="356">
      <c r="J356" s="35"/>
    </row>
    <row r="357">
      <c r="J357" s="35"/>
    </row>
    <row r="358">
      <c r="J358" s="35"/>
    </row>
    <row r="359">
      <c r="J359" s="35"/>
    </row>
    <row r="360">
      <c r="J360" s="35"/>
    </row>
    <row r="361">
      <c r="J361" s="35"/>
    </row>
    <row r="362">
      <c r="J362" s="35"/>
    </row>
    <row r="363">
      <c r="J363" s="35"/>
    </row>
    <row r="364">
      <c r="J364" s="35"/>
    </row>
    <row r="365">
      <c r="J365" s="35"/>
    </row>
    <row r="366">
      <c r="J366" s="35"/>
    </row>
    <row r="367">
      <c r="J367" s="35"/>
    </row>
    <row r="368">
      <c r="J368" s="35"/>
    </row>
    <row r="369">
      <c r="J369" s="35"/>
    </row>
    <row r="370">
      <c r="J370" s="35"/>
    </row>
    <row r="371">
      <c r="J371" s="35"/>
    </row>
    <row r="372">
      <c r="J372" s="35"/>
    </row>
    <row r="373">
      <c r="J373" s="35"/>
    </row>
    <row r="374">
      <c r="J374" s="35"/>
    </row>
    <row r="375">
      <c r="J375" s="35"/>
    </row>
    <row r="376">
      <c r="J376" s="35"/>
    </row>
    <row r="377">
      <c r="J377" s="35"/>
    </row>
    <row r="378">
      <c r="J378" s="35"/>
    </row>
    <row r="379">
      <c r="J379" s="35"/>
    </row>
    <row r="380">
      <c r="J380" s="35"/>
    </row>
    <row r="381">
      <c r="J381" s="35"/>
    </row>
    <row r="382">
      <c r="J382" s="35"/>
    </row>
    <row r="383">
      <c r="J383" s="35"/>
    </row>
    <row r="384">
      <c r="J384" s="35"/>
    </row>
    <row r="385">
      <c r="J385" s="35"/>
    </row>
    <row r="386">
      <c r="J386" s="35"/>
    </row>
    <row r="387">
      <c r="J387" s="35"/>
    </row>
    <row r="388">
      <c r="J388" s="35"/>
    </row>
    <row r="389">
      <c r="J389" s="35"/>
    </row>
    <row r="390">
      <c r="J390" s="35"/>
    </row>
    <row r="391">
      <c r="J391" s="35"/>
    </row>
    <row r="392">
      <c r="J392" s="35"/>
    </row>
    <row r="393">
      <c r="J393" s="35"/>
    </row>
    <row r="394">
      <c r="J394" s="35"/>
    </row>
    <row r="395">
      <c r="J395" s="35"/>
    </row>
    <row r="396">
      <c r="J396" s="35"/>
    </row>
    <row r="397">
      <c r="J397" s="35"/>
    </row>
    <row r="398">
      <c r="J398" s="35"/>
    </row>
    <row r="399">
      <c r="J399" s="35"/>
    </row>
    <row r="400">
      <c r="J400" s="35"/>
    </row>
    <row r="401">
      <c r="J401" s="35"/>
    </row>
    <row r="402">
      <c r="J402" s="35"/>
    </row>
    <row r="403">
      <c r="J403" s="35"/>
    </row>
    <row r="404">
      <c r="J404" s="35"/>
    </row>
    <row r="405">
      <c r="J405" s="35"/>
    </row>
    <row r="406">
      <c r="J406" s="35"/>
    </row>
    <row r="407">
      <c r="J407" s="35"/>
    </row>
    <row r="408">
      <c r="J408" s="35"/>
    </row>
    <row r="409">
      <c r="J409" s="35"/>
    </row>
    <row r="410">
      <c r="J410" s="35"/>
    </row>
    <row r="411">
      <c r="J411" s="35"/>
    </row>
    <row r="412">
      <c r="J412" s="35"/>
    </row>
    <row r="413">
      <c r="J413" s="35"/>
    </row>
    <row r="414">
      <c r="J414" s="35"/>
    </row>
    <row r="415">
      <c r="J415" s="35"/>
    </row>
    <row r="416">
      <c r="J416" s="35"/>
    </row>
    <row r="417">
      <c r="J417" s="35"/>
    </row>
    <row r="418">
      <c r="J418" s="35"/>
    </row>
    <row r="419">
      <c r="J419" s="35"/>
    </row>
    <row r="420">
      <c r="J420" s="35"/>
    </row>
    <row r="421">
      <c r="J421" s="35"/>
    </row>
    <row r="422">
      <c r="J422" s="35"/>
    </row>
    <row r="423">
      <c r="J423" s="35"/>
    </row>
    <row r="424">
      <c r="J424" s="35"/>
    </row>
    <row r="425">
      <c r="J425" s="35"/>
    </row>
    <row r="426">
      <c r="J426" s="35"/>
    </row>
    <row r="427">
      <c r="J427" s="35"/>
    </row>
    <row r="428">
      <c r="J428" s="35"/>
    </row>
    <row r="429">
      <c r="J429" s="35"/>
    </row>
    <row r="430">
      <c r="J430" s="35"/>
    </row>
    <row r="431">
      <c r="J431" s="35"/>
    </row>
    <row r="432">
      <c r="J432" s="35"/>
    </row>
    <row r="433">
      <c r="J433" s="35"/>
    </row>
    <row r="434">
      <c r="J434" s="35"/>
    </row>
    <row r="435">
      <c r="J435" s="35"/>
    </row>
    <row r="436">
      <c r="J436" s="35"/>
    </row>
    <row r="437">
      <c r="J437" s="35"/>
    </row>
    <row r="438">
      <c r="J438" s="35"/>
    </row>
    <row r="439">
      <c r="J439" s="35"/>
    </row>
    <row r="440">
      <c r="J440" s="35"/>
    </row>
    <row r="441">
      <c r="J441" s="35"/>
    </row>
    <row r="442">
      <c r="J442" s="35"/>
    </row>
    <row r="443">
      <c r="J443" s="35"/>
    </row>
    <row r="444">
      <c r="J444" s="35"/>
    </row>
    <row r="445">
      <c r="J445" s="35"/>
    </row>
    <row r="446">
      <c r="J446" s="35"/>
    </row>
    <row r="447">
      <c r="J447" s="35"/>
    </row>
    <row r="448">
      <c r="J448" s="35"/>
    </row>
    <row r="449">
      <c r="J449" s="35"/>
    </row>
    <row r="450">
      <c r="J450" s="35"/>
    </row>
    <row r="451">
      <c r="J451" s="35"/>
    </row>
    <row r="452">
      <c r="J452" s="35"/>
    </row>
    <row r="453">
      <c r="J453" s="35"/>
    </row>
    <row r="454">
      <c r="J454" s="35"/>
    </row>
    <row r="455">
      <c r="J455" s="35"/>
    </row>
    <row r="456">
      <c r="J456" s="35"/>
    </row>
    <row r="457">
      <c r="J457" s="35"/>
    </row>
    <row r="458">
      <c r="J458" s="35"/>
    </row>
    <row r="459">
      <c r="J459" s="35"/>
    </row>
    <row r="460">
      <c r="J460" s="35"/>
    </row>
    <row r="461">
      <c r="J461" s="35"/>
    </row>
    <row r="462">
      <c r="J462" s="35"/>
    </row>
    <row r="463">
      <c r="J463" s="35"/>
    </row>
    <row r="464">
      <c r="J464" s="35"/>
    </row>
    <row r="465">
      <c r="J465" s="35"/>
    </row>
    <row r="466">
      <c r="J466" s="35"/>
    </row>
    <row r="467">
      <c r="J467" s="35"/>
    </row>
    <row r="468">
      <c r="J468" s="35"/>
    </row>
    <row r="469">
      <c r="J469" s="35"/>
    </row>
    <row r="470">
      <c r="J470" s="35"/>
    </row>
    <row r="471">
      <c r="J471" s="35"/>
    </row>
    <row r="472">
      <c r="J472" s="35"/>
    </row>
    <row r="473">
      <c r="J473" s="35"/>
    </row>
    <row r="474">
      <c r="J474" s="35"/>
    </row>
    <row r="475">
      <c r="J475" s="35"/>
    </row>
    <row r="476">
      <c r="J476" s="35"/>
    </row>
    <row r="477">
      <c r="J477" s="35"/>
    </row>
    <row r="478">
      <c r="J478" s="35"/>
    </row>
    <row r="479">
      <c r="J479" s="35"/>
    </row>
    <row r="480">
      <c r="J480" s="35"/>
    </row>
    <row r="481">
      <c r="J481" s="35"/>
    </row>
    <row r="482">
      <c r="J482" s="35"/>
    </row>
    <row r="483">
      <c r="J483" s="35"/>
    </row>
    <row r="484">
      <c r="J484" s="35"/>
    </row>
    <row r="485">
      <c r="J485" s="35"/>
    </row>
    <row r="486">
      <c r="J486" s="35"/>
    </row>
    <row r="487">
      <c r="J487" s="35"/>
    </row>
    <row r="488">
      <c r="J488" s="35"/>
    </row>
    <row r="489">
      <c r="J489" s="35"/>
    </row>
    <row r="490">
      <c r="J490" s="35"/>
    </row>
    <row r="491">
      <c r="J491" s="35"/>
    </row>
    <row r="492">
      <c r="J492" s="35"/>
    </row>
    <row r="493">
      <c r="J493" s="35"/>
    </row>
    <row r="494">
      <c r="J494" s="35"/>
    </row>
    <row r="495">
      <c r="J495" s="35"/>
    </row>
    <row r="496">
      <c r="J496" s="35"/>
    </row>
    <row r="497">
      <c r="J497" s="35"/>
    </row>
    <row r="498">
      <c r="J498" s="35"/>
    </row>
    <row r="499">
      <c r="J499" s="35"/>
    </row>
    <row r="500">
      <c r="J500" s="35"/>
    </row>
    <row r="501">
      <c r="J501" s="35"/>
    </row>
    <row r="502">
      <c r="J502" s="35"/>
    </row>
    <row r="503">
      <c r="J503" s="35"/>
    </row>
    <row r="504">
      <c r="J504" s="35"/>
    </row>
    <row r="505">
      <c r="J505" s="35"/>
    </row>
    <row r="506">
      <c r="J506" s="35"/>
    </row>
    <row r="507">
      <c r="J507" s="35"/>
    </row>
    <row r="508">
      <c r="J508" s="35"/>
    </row>
    <row r="509">
      <c r="J509" s="35"/>
    </row>
    <row r="510">
      <c r="J510" s="35"/>
    </row>
    <row r="511">
      <c r="J511" s="35"/>
    </row>
    <row r="512">
      <c r="J512" s="35"/>
    </row>
    <row r="513">
      <c r="J513" s="35"/>
    </row>
    <row r="514">
      <c r="J514" s="35"/>
    </row>
    <row r="515">
      <c r="J515" s="35"/>
    </row>
    <row r="516">
      <c r="J516" s="35"/>
    </row>
    <row r="517">
      <c r="J517" s="35"/>
    </row>
    <row r="518">
      <c r="J518" s="35"/>
    </row>
    <row r="519">
      <c r="J519" s="35"/>
    </row>
    <row r="520">
      <c r="J520" s="35"/>
    </row>
    <row r="521">
      <c r="J521" s="35"/>
    </row>
    <row r="522">
      <c r="J522" s="35"/>
    </row>
    <row r="523">
      <c r="J523" s="35"/>
    </row>
    <row r="524">
      <c r="J524" s="35"/>
    </row>
    <row r="525">
      <c r="J525" s="35"/>
    </row>
    <row r="526">
      <c r="J526" s="35"/>
    </row>
    <row r="527">
      <c r="J527" s="35"/>
    </row>
    <row r="528">
      <c r="J528" s="35"/>
    </row>
    <row r="529">
      <c r="J529" s="35"/>
    </row>
    <row r="530">
      <c r="J530" s="35"/>
    </row>
    <row r="531">
      <c r="J531" s="35"/>
    </row>
    <row r="532">
      <c r="J532" s="35"/>
    </row>
    <row r="533">
      <c r="J533" s="35"/>
    </row>
    <row r="534">
      <c r="J534" s="35"/>
    </row>
    <row r="535">
      <c r="J535" s="35"/>
    </row>
    <row r="536">
      <c r="J536" s="35"/>
    </row>
    <row r="537">
      <c r="J537" s="35"/>
    </row>
    <row r="538">
      <c r="J538" s="35"/>
    </row>
    <row r="539">
      <c r="J539" s="35"/>
    </row>
    <row r="540">
      <c r="J540" s="35"/>
    </row>
    <row r="541">
      <c r="J541" s="35"/>
    </row>
    <row r="542">
      <c r="J542" s="35"/>
    </row>
    <row r="543">
      <c r="J543" s="35"/>
    </row>
    <row r="544">
      <c r="J544" s="35"/>
    </row>
    <row r="545">
      <c r="J545" s="35"/>
    </row>
    <row r="546">
      <c r="J546" s="35"/>
    </row>
    <row r="547">
      <c r="J547" s="35"/>
    </row>
    <row r="548">
      <c r="J548" s="35"/>
    </row>
    <row r="549">
      <c r="J549" s="35"/>
    </row>
    <row r="550">
      <c r="J550" s="35"/>
    </row>
    <row r="551">
      <c r="J551" s="35"/>
    </row>
    <row r="552">
      <c r="J552" s="35"/>
    </row>
    <row r="553">
      <c r="J553" s="35"/>
    </row>
    <row r="554">
      <c r="J554" s="35"/>
    </row>
    <row r="555">
      <c r="J555" s="35"/>
    </row>
    <row r="556">
      <c r="J556" s="35"/>
    </row>
    <row r="557">
      <c r="J557" s="35"/>
    </row>
    <row r="558">
      <c r="J558" s="35"/>
    </row>
    <row r="559">
      <c r="J559" s="35"/>
    </row>
    <row r="560">
      <c r="J560" s="35"/>
    </row>
    <row r="561">
      <c r="J561" s="35"/>
    </row>
    <row r="562">
      <c r="J562" s="35"/>
    </row>
    <row r="563">
      <c r="J563" s="35"/>
    </row>
    <row r="564">
      <c r="J564" s="35"/>
    </row>
    <row r="565">
      <c r="J565" s="35"/>
    </row>
    <row r="566">
      <c r="J566" s="35"/>
    </row>
    <row r="567">
      <c r="J567" s="35"/>
    </row>
    <row r="568">
      <c r="J568" s="35"/>
    </row>
    <row r="569">
      <c r="J569" s="35"/>
    </row>
    <row r="570">
      <c r="J570" s="35"/>
    </row>
    <row r="571">
      <c r="J571" s="35"/>
    </row>
    <row r="572">
      <c r="J572" s="35"/>
    </row>
    <row r="573">
      <c r="J573" s="35"/>
    </row>
    <row r="574">
      <c r="J574" s="35"/>
    </row>
    <row r="575">
      <c r="J575" s="35"/>
    </row>
    <row r="576">
      <c r="J576" s="35"/>
    </row>
    <row r="577">
      <c r="J577" s="35"/>
    </row>
    <row r="578">
      <c r="J578" s="35"/>
    </row>
    <row r="579">
      <c r="J579" s="35"/>
    </row>
    <row r="580">
      <c r="J580" s="35"/>
    </row>
    <row r="581">
      <c r="J581" s="35"/>
    </row>
    <row r="582">
      <c r="J582" s="35"/>
    </row>
    <row r="583">
      <c r="J583" s="35"/>
    </row>
    <row r="584">
      <c r="J584" s="35"/>
    </row>
    <row r="585">
      <c r="J585" s="35"/>
    </row>
    <row r="586">
      <c r="J586" s="35"/>
    </row>
    <row r="587">
      <c r="J587" s="35"/>
    </row>
    <row r="588">
      <c r="J588" s="35"/>
    </row>
    <row r="589">
      <c r="J589" s="35"/>
    </row>
    <row r="590">
      <c r="J590" s="35"/>
    </row>
    <row r="591">
      <c r="J591" s="35"/>
    </row>
    <row r="592">
      <c r="J592" s="35"/>
    </row>
    <row r="593">
      <c r="J593" s="35"/>
    </row>
    <row r="594">
      <c r="J594" s="35"/>
    </row>
    <row r="595">
      <c r="J595" s="35"/>
    </row>
    <row r="596">
      <c r="J596" s="35"/>
    </row>
    <row r="597">
      <c r="J597" s="35"/>
    </row>
    <row r="598">
      <c r="J598" s="35"/>
    </row>
    <row r="599">
      <c r="J599" s="35"/>
    </row>
    <row r="600">
      <c r="J600" s="35"/>
    </row>
    <row r="601">
      <c r="J601" s="35"/>
    </row>
    <row r="602">
      <c r="J602" s="35"/>
    </row>
    <row r="603">
      <c r="J603" s="35"/>
    </row>
    <row r="604">
      <c r="J604" s="35"/>
    </row>
    <row r="605">
      <c r="J605" s="35"/>
    </row>
    <row r="606">
      <c r="J606" s="35"/>
    </row>
    <row r="607">
      <c r="J607" s="35"/>
    </row>
    <row r="608">
      <c r="J608" s="35"/>
    </row>
    <row r="609">
      <c r="J609" s="35"/>
    </row>
    <row r="610">
      <c r="J610" s="35"/>
    </row>
    <row r="611">
      <c r="J611" s="35"/>
    </row>
    <row r="612">
      <c r="J612" s="35"/>
    </row>
    <row r="613">
      <c r="J613" s="35"/>
    </row>
    <row r="614">
      <c r="J614" s="35"/>
    </row>
    <row r="615">
      <c r="J615" s="35"/>
    </row>
    <row r="616">
      <c r="J616" s="35"/>
    </row>
    <row r="617">
      <c r="J617" s="35"/>
    </row>
    <row r="618">
      <c r="J618" s="35"/>
    </row>
    <row r="619">
      <c r="J619" s="35"/>
    </row>
    <row r="620">
      <c r="J620" s="35"/>
    </row>
    <row r="621">
      <c r="J621" s="35"/>
    </row>
    <row r="622">
      <c r="J622" s="35"/>
    </row>
    <row r="623">
      <c r="J623" s="35"/>
    </row>
    <row r="624">
      <c r="J624" s="35"/>
    </row>
    <row r="625">
      <c r="J625" s="35"/>
    </row>
    <row r="626">
      <c r="J626" s="35"/>
    </row>
    <row r="627">
      <c r="J627" s="35"/>
    </row>
    <row r="628">
      <c r="J628" s="35"/>
    </row>
    <row r="629">
      <c r="J629" s="35"/>
    </row>
    <row r="630">
      <c r="J630" s="35"/>
    </row>
    <row r="631">
      <c r="J631" s="35"/>
    </row>
    <row r="632">
      <c r="J632" s="35"/>
    </row>
    <row r="633">
      <c r="J633" s="35"/>
    </row>
    <row r="634">
      <c r="J634" s="35"/>
    </row>
    <row r="635">
      <c r="J635" s="35"/>
    </row>
    <row r="636">
      <c r="J636" s="35"/>
    </row>
    <row r="637">
      <c r="J637" s="35"/>
    </row>
    <row r="638">
      <c r="J638" s="35"/>
    </row>
    <row r="639">
      <c r="J639" s="35"/>
    </row>
    <row r="640">
      <c r="J640" s="35"/>
    </row>
    <row r="641">
      <c r="J641" s="35"/>
    </row>
    <row r="642">
      <c r="J642" s="35"/>
    </row>
    <row r="643">
      <c r="J643" s="35"/>
    </row>
    <row r="644">
      <c r="J644" s="35"/>
    </row>
    <row r="645">
      <c r="J645" s="35"/>
    </row>
    <row r="646">
      <c r="J646" s="35"/>
    </row>
    <row r="647">
      <c r="J647" s="35"/>
    </row>
    <row r="648">
      <c r="J648" s="35"/>
    </row>
    <row r="649">
      <c r="J649" s="35"/>
    </row>
    <row r="650">
      <c r="J650" s="35"/>
    </row>
    <row r="651">
      <c r="J651" s="35"/>
    </row>
    <row r="652">
      <c r="J652" s="35"/>
    </row>
    <row r="653">
      <c r="J653" s="35"/>
    </row>
    <row r="654">
      <c r="J654" s="35"/>
    </row>
    <row r="655">
      <c r="J655" s="35"/>
    </row>
    <row r="656">
      <c r="J656" s="35"/>
    </row>
    <row r="657">
      <c r="J657" s="35"/>
    </row>
    <row r="658">
      <c r="J658" s="35"/>
    </row>
    <row r="659">
      <c r="J659" s="35"/>
    </row>
    <row r="660">
      <c r="J660" s="35"/>
    </row>
    <row r="661">
      <c r="J661" s="35"/>
    </row>
    <row r="662">
      <c r="J662" s="35"/>
    </row>
    <row r="663">
      <c r="J663" s="35"/>
    </row>
    <row r="664">
      <c r="J664" s="35"/>
    </row>
    <row r="665">
      <c r="J665" s="35"/>
    </row>
    <row r="666">
      <c r="J666" s="35"/>
    </row>
    <row r="667">
      <c r="J667" s="35"/>
    </row>
    <row r="668">
      <c r="J668" s="35"/>
    </row>
    <row r="669">
      <c r="J669" s="35"/>
    </row>
    <row r="670">
      <c r="J670" s="35"/>
    </row>
    <row r="671">
      <c r="J671" s="35"/>
    </row>
    <row r="672">
      <c r="J672" s="35"/>
    </row>
    <row r="673">
      <c r="J673" s="35"/>
    </row>
    <row r="674">
      <c r="J674" s="35"/>
    </row>
    <row r="675">
      <c r="J675" s="35"/>
    </row>
    <row r="676">
      <c r="J676" s="35"/>
    </row>
    <row r="677">
      <c r="J677" s="35"/>
    </row>
    <row r="678">
      <c r="J678" s="35"/>
    </row>
    <row r="679">
      <c r="J679" s="35"/>
    </row>
    <row r="680">
      <c r="J680" s="35"/>
    </row>
    <row r="681">
      <c r="J681" s="35"/>
    </row>
    <row r="682">
      <c r="J682" s="35"/>
    </row>
    <row r="683">
      <c r="J683" s="35"/>
    </row>
    <row r="684">
      <c r="J684" s="35"/>
    </row>
    <row r="685">
      <c r="J685" s="35"/>
    </row>
    <row r="686">
      <c r="J686" s="35"/>
    </row>
    <row r="687">
      <c r="J687" s="35"/>
    </row>
    <row r="688">
      <c r="J688" s="35"/>
    </row>
    <row r="689">
      <c r="J689" s="35"/>
    </row>
    <row r="690">
      <c r="J690" s="35"/>
    </row>
    <row r="691">
      <c r="J691" s="35"/>
    </row>
    <row r="692">
      <c r="J692" s="35"/>
    </row>
    <row r="693">
      <c r="J693" s="35"/>
    </row>
    <row r="694">
      <c r="J694" s="35"/>
    </row>
    <row r="695">
      <c r="J695" s="35"/>
    </row>
    <row r="696">
      <c r="J696" s="35"/>
    </row>
    <row r="697">
      <c r="J697" s="35"/>
    </row>
    <row r="698">
      <c r="J698" s="35"/>
    </row>
    <row r="699">
      <c r="J699" s="35"/>
    </row>
    <row r="700">
      <c r="J700" s="35"/>
    </row>
    <row r="701">
      <c r="J701" s="35"/>
    </row>
    <row r="702">
      <c r="J702" s="35"/>
    </row>
    <row r="703">
      <c r="J703" s="35"/>
    </row>
    <row r="704">
      <c r="J704" s="35"/>
    </row>
    <row r="705">
      <c r="J705" s="35"/>
    </row>
    <row r="706">
      <c r="J706" s="35"/>
    </row>
    <row r="707">
      <c r="J707" s="35"/>
    </row>
    <row r="708">
      <c r="J708" s="35"/>
    </row>
    <row r="709">
      <c r="J709" s="35"/>
    </row>
    <row r="710">
      <c r="J710" s="35"/>
    </row>
    <row r="711">
      <c r="J711" s="35"/>
    </row>
    <row r="712">
      <c r="J712" s="35"/>
    </row>
    <row r="713">
      <c r="J713" s="35"/>
    </row>
    <row r="714">
      <c r="J714" s="35"/>
    </row>
    <row r="715">
      <c r="J715" s="35"/>
    </row>
    <row r="716">
      <c r="J716" s="35"/>
    </row>
    <row r="717">
      <c r="J717" s="35"/>
    </row>
    <row r="718">
      <c r="J718" s="35"/>
    </row>
    <row r="719">
      <c r="J719" s="35"/>
    </row>
    <row r="720">
      <c r="J720" s="35"/>
    </row>
    <row r="721">
      <c r="J721" s="35"/>
    </row>
    <row r="722">
      <c r="J722" s="35"/>
    </row>
    <row r="723">
      <c r="J723" s="35"/>
    </row>
    <row r="724">
      <c r="J724" s="35"/>
    </row>
    <row r="725">
      <c r="J725" s="35"/>
    </row>
    <row r="726">
      <c r="J726" s="35"/>
    </row>
    <row r="727">
      <c r="J727" s="35"/>
    </row>
    <row r="728">
      <c r="J728" s="35"/>
    </row>
    <row r="729">
      <c r="J729" s="35"/>
    </row>
    <row r="730">
      <c r="J730" s="35"/>
    </row>
    <row r="731">
      <c r="J731" s="35"/>
    </row>
    <row r="732">
      <c r="J732" s="35"/>
    </row>
    <row r="733">
      <c r="J733" s="35"/>
    </row>
    <row r="734">
      <c r="J734" s="35"/>
    </row>
    <row r="735">
      <c r="J735" s="35"/>
    </row>
    <row r="736">
      <c r="J736" s="35"/>
    </row>
    <row r="737">
      <c r="J737" s="35"/>
    </row>
    <row r="738">
      <c r="J738" s="35"/>
    </row>
    <row r="739">
      <c r="J739" s="35"/>
    </row>
    <row r="740">
      <c r="J740" s="35"/>
    </row>
    <row r="741">
      <c r="J741" s="35"/>
    </row>
    <row r="742">
      <c r="J742" s="35"/>
    </row>
    <row r="743">
      <c r="J743" s="35"/>
    </row>
    <row r="744">
      <c r="J744" s="35"/>
    </row>
    <row r="745">
      <c r="J745" s="35"/>
    </row>
    <row r="746">
      <c r="J746" s="35"/>
    </row>
    <row r="747">
      <c r="J747" s="35"/>
    </row>
    <row r="748">
      <c r="J748" s="35"/>
    </row>
    <row r="749">
      <c r="J749" s="35"/>
    </row>
    <row r="750">
      <c r="J750" s="35"/>
    </row>
    <row r="751">
      <c r="J751" s="35"/>
    </row>
    <row r="752">
      <c r="J752" s="35"/>
    </row>
    <row r="753">
      <c r="J753" s="35"/>
    </row>
    <row r="754">
      <c r="J754" s="35"/>
    </row>
    <row r="755">
      <c r="J755" s="35"/>
    </row>
    <row r="756">
      <c r="J756" s="35"/>
    </row>
    <row r="757">
      <c r="J757" s="35"/>
    </row>
    <row r="758">
      <c r="J758" s="35"/>
    </row>
    <row r="759">
      <c r="J759" s="35"/>
    </row>
    <row r="760">
      <c r="J760" s="35"/>
    </row>
    <row r="761">
      <c r="J761" s="35"/>
    </row>
    <row r="762">
      <c r="J762" s="35"/>
    </row>
    <row r="763">
      <c r="J763" s="35"/>
    </row>
    <row r="764">
      <c r="J764" s="35"/>
    </row>
    <row r="765">
      <c r="J765" s="35"/>
    </row>
    <row r="766">
      <c r="J766" s="35"/>
    </row>
    <row r="767">
      <c r="J767" s="35"/>
    </row>
    <row r="768">
      <c r="J768" s="35"/>
    </row>
    <row r="769">
      <c r="J769" s="35"/>
    </row>
    <row r="770">
      <c r="J770" s="35"/>
    </row>
    <row r="771">
      <c r="J771" s="35"/>
    </row>
    <row r="772">
      <c r="J772" s="35"/>
    </row>
    <row r="773">
      <c r="J773" s="35"/>
    </row>
    <row r="774">
      <c r="J774" s="35"/>
    </row>
    <row r="775">
      <c r="J775" s="35"/>
    </row>
    <row r="776">
      <c r="J776" s="35"/>
    </row>
    <row r="777">
      <c r="J777" s="35"/>
    </row>
    <row r="778">
      <c r="J778" s="35"/>
    </row>
    <row r="779">
      <c r="J779" s="35"/>
    </row>
    <row r="780">
      <c r="J780" s="35"/>
    </row>
    <row r="781">
      <c r="J781" s="35"/>
    </row>
    <row r="782">
      <c r="J782" s="35"/>
    </row>
    <row r="783">
      <c r="J783" s="35"/>
    </row>
    <row r="784">
      <c r="J784" s="35"/>
    </row>
    <row r="785">
      <c r="J785" s="35"/>
    </row>
    <row r="786">
      <c r="J786" s="35"/>
    </row>
    <row r="787">
      <c r="J787" s="35"/>
    </row>
    <row r="788">
      <c r="J788" s="35"/>
    </row>
    <row r="789">
      <c r="J789" s="35"/>
    </row>
    <row r="790">
      <c r="J790" s="35"/>
    </row>
    <row r="791">
      <c r="J791" s="35"/>
    </row>
    <row r="792">
      <c r="J792" s="35"/>
    </row>
    <row r="793">
      <c r="J793" s="35"/>
    </row>
    <row r="794">
      <c r="J794" s="35"/>
    </row>
    <row r="795">
      <c r="J795" s="35"/>
    </row>
    <row r="796">
      <c r="J796" s="35"/>
    </row>
    <row r="797">
      <c r="J797" s="35"/>
    </row>
    <row r="798">
      <c r="J798" s="35"/>
    </row>
    <row r="799">
      <c r="J799" s="35"/>
    </row>
    <row r="800">
      <c r="J800" s="35"/>
    </row>
    <row r="801">
      <c r="J801" s="35"/>
    </row>
    <row r="802">
      <c r="J802" s="35"/>
    </row>
    <row r="803">
      <c r="J803" s="35"/>
    </row>
    <row r="804">
      <c r="J804" s="35"/>
    </row>
    <row r="805">
      <c r="J805" s="35"/>
    </row>
    <row r="806">
      <c r="J806" s="35"/>
    </row>
    <row r="807">
      <c r="J807" s="35"/>
    </row>
    <row r="808">
      <c r="J808" s="35"/>
    </row>
    <row r="809">
      <c r="J809" s="35"/>
    </row>
    <row r="810">
      <c r="J810" s="35"/>
    </row>
    <row r="811">
      <c r="J811" s="35"/>
    </row>
    <row r="812">
      <c r="J812" s="35"/>
    </row>
    <row r="813">
      <c r="J813" s="35"/>
    </row>
    <row r="814">
      <c r="J814" s="35"/>
    </row>
    <row r="815">
      <c r="J815" s="35"/>
    </row>
    <row r="816">
      <c r="J816" s="35"/>
    </row>
    <row r="817">
      <c r="J817" s="35"/>
    </row>
    <row r="818">
      <c r="J818" s="35"/>
    </row>
    <row r="819">
      <c r="J819" s="35"/>
    </row>
    <row r="820">
      <c r="J820" s="35"/>
    </row>
    <row r="821">
      <c r="J821" s="35"/>
    </row>
    <row r="822">
      <c r="J822" s="35"/>
    </row>
    <row r="823">
      <c r="J823" s="35"/>
    </row>
    <row r="824">
      <c r="J824" s="35"/>
    </row>
    <row r="825">
      <c r="J825" s="35"/>
    </row>
    <row r="826">
      <c r="J826" s="35"/>
    </row>
    <row r="827">
      <c r="J827" s="35"/>
    </row>
    <row r="828">
      <c r="J828" s="35"/>
    </row>
    <row r="829">
      <c r="J829" s="35"/>
    </row>
    <row r="830">
      <c r="J830" s="35"/>
    </row>
    <row r="831">
      <c r="J831" s="35"/>
    </row>
    <row r="832">
      <c r="J832" s="35"/>
    </row>
    <row r="833">
      <c r="J833" s="35"/>
    </row>
    <row r="834">
      <c r="J834" s="35"/>
    </row>
    <row r="835">
      <c r="J835" s="35"/>
    </row>
    <row r="836">
      <c r="J836" s="35"/>
    </row>
    <row r="837">
      <c r="J837" s="35"/>
    </row>
    <row r="838">
      <c r="J838" s="35"/>
    </row>
    <row r="839">
      <c r="J839" s="35"/>
    </row>
    <row r="840">
      <c r="J840" s="35"/>
    </row>
    <row r="841">
      <c r="J841" s="35"/>
    </row>
    <row r="842">
      <c r="J842" s="35"/>
    </row>
    <row r="843">
      <c r="J843" s="35"/>
    </row>
    <row r="844">
      <c r="J844" s="35"/>
    </row>
    <row r="845">
      <c r="J845" s="35"/>
    </row>
    <row r="846">
      <c r="J846" s="35"/>
    </row>
    <row r="847">
      <c r="J847" s="35"/>
    </row>
    <row r="848">
      <c r="J848" s="35"/>
    </row>
    <row r="849">
      <c r="J849" s="35"/>
    </row>
    <row r="850">
      <c r="J850" s="35"/>
    </row>
    <row r="851">
      <c r="J851" s="35"/>
    </row>
    <row r="852">
      <c r="J852" s="35"/>
    </row>
    <row r="853">
      <c r="J853" s="35"/>
    </row>
    <row r="854">
      <c r="J854" s="35"/>
    </row>
    <row r="855">
      <c r="J855" s="35"/>
    </row>
    <row r="856">
      <c r="J856" s="35"/>
    </row>
    <row r="857">
      <c r="J857" s="35"/>
    </row>
    <row r="858">
      <c r="J858" s="35"/>
    </row>
    <row r="859">
      <c r="J859" s="35"/>
    </row>
    <row r="860">
      <c r="J860" s="35"/>
    </row>
    <row r="861">
      <c r="J861" s="35"/>
    </row>
    <row r="862">
      <c r="J862" s="35"/>
    </row>
    <row r="863">
      <c r="J863" s="35"/>
    </row>
    <row r="864">
      <c r="J864" s="35"/>
    </row>
    <row r="865">
      <c r="J865" s="35"/>
    </row>
    <row r="866">
      <c r="J866" s="35"/>
    </row>
    <row r="867">
      <c r="J867" s="35"/>
    </row>
    <row r="868">
      <c r="J868" s="35"/>
    </row>
    <row r="869">
      <c r="J869" s="35"/>
    </row>
    <row r="870">
      <c r="J870" s="35"/>
    </row>
    <row r="871">
      <c r="J871" s="35"/>
    </row>
    <row r="872">
      <c r="J872" s="35"/>
    </row>
    <row r="873">
      <c r="J873" s="35"/>
    </row>
    <row r="874">
      <c r="J874" s="35"/>
    </row>
    <row r="875">
      <c r="J875" s="35"/>
    </row>
    <row r="876">
      <c r="J876" s="35"/>
    </row>
    <row r="877">
      <c r="J877" s="35"/>
    </row>
    <row r="878">
      <c r="J878" s="35"/>
    </row>
    <row r="879">
      <c r="J879" s="35"/>
    </row>
    <row r="880">
      <c r="J880" s="35"/>
    </row>
    <row r="881">
      <c r="J881" s="35"/>
    </row>
    <row r="882">
      <c r="J882" s="35"/>
    </row>
    <row r="883">
      <c r="J883" s="35"/>
    </row>
    <row r="884">
      <c r="J884" s="35"/>
    </row>
    <row r="885">
      <c r="J885" s="35"/>
    </row>
    <row r="886">
      <c r="J886" s="35"/>
    </row>
    <row r="887">
      <c r="J887" s="35"/>
    </row>
    <row r="888">
      <c r="J888" s="35"/>
    </row>
    <row r="889">
      <c r="J889" s="35"/>
    </row>
    <row r="890">
      <c r="J890" s="35"/>
    </row>
    <row r="891">
      <c r="J891" s="35"/>
    </row>
    <row r="892">
      <c r="J892" s="35"/>
    </row>
    <row r="893">
      <c r="J893" s="35"/>
    </row>
    <row r="894">
      <c r="J894" s="35"/>
    </row>
    <row r="895">
      <c r="J895" s="35"/>
    </row>
    <row r="896">
      <c r="J896" s="35"/>
    </row>
    <row r="897">
      <c r="J897" s="35"/>
    </row>
    <row r="898">
      <c r="J898" s="35"/>
    </row>
    <row r="899">
      <c r="J899" s="35"/>
    </row>
    <row r="900">
      <c r="J900" s="35"/>
    </row>
    <row r="901">
      <c r="J901" s="35"/>
    </row>
    <row r="902">
      <c r="J902" s="35"/>
    </row>
    <row r="903">
      <c r="J903" s="35"/>
    </row>
    <row r="904">
      <c r="J904" s="35"/>
    </row>
    <row r="905">
      <c r="J905" s="35"/>
    </row>
    <row r="906">
      <c r="J906" s="35"/>
    </row>
    <row r="907">
      <c r="J907" s="35"/>
    </row>
    <row r="908">
      <c r="J908" s="35"/>
    </row>
    <row r="909">
      <c r="J909" s="35"/>
    </row>
    <row r="910">
      <c r="J910" s="35"/>
    </row>
    <row r="911">
      <c r="J911" s="35"/>
    </row>
    <row r="912">
      <c r="J912" s="35"/>
    </row>
    <row r="913">
      <c r="J913" s="35"/>
    </row>
    <row r="914">
      <c r="J914" s="35"/>
    </row>
    <row r="915">
      <c r="J915" s="35"/>
    </row>
    <row r="916">
      <c r="J916" s="35"/>
    </row>
    <row r="917">
      <c r="J917" s="35"/>
    </row>
    <row r="918">
      <c r="J918" s="35"/>
    </row>
    <row r="919">
      <c r="J919" s="35"/>
    </row>
    <row r="920">
      <c r="J920" s="35"/>
    </row>
    <row r="921">
      <c r="J921" s="35"/>
    </row>
    <row r="922">
      <c r="J922" s="35"/>
    </row>
    <row r="923">
      <c r="J923" s="35"/>
    </row>
    <row r="924">
      <c r="J924" s="35"/>
    </row>
    <row r="925">
      <c r="J925" s="35"/>
    </row>
    <row r="926">
      <c r="J926" s="35"/>
    </row>
    <row r="927">
      <c r="J927" s="35"/>
    </row>
    <row r="928">
      <c r="J928" s="35"/>
    </row>
    <row r="929">
      <c r="J929" s="35"/>
    </row>
    <row r="930">
      <c r="J930" s="35"/>
    </row>
    <row r="931">
      <c r="J931" s="35"/>
    </row>
    <row r="932">
      <c r="J932" s="35"/>
    </row>
    <row r="933">
      <c r="J933" s="35"/>
    </row>
    <row r="934">
      <c r="J934" s="35"/>
    </row>
    <row r="935">
      <c r="J935" s="35"/>
    </row>
    <row r="936">
      <c r="J936" s="35"/>
    </row>
    <row r="937">
      <c r="J937" s="35"/>
    </row>
    <row r="938">
      <c r="J938" s="35"/>
    </row>
    <row r="939">
      <c r="J939" s="35"/>
    </row>
    <row r="940">
      <c r="J940" s="35"/>
    </row>
    <row r="941">
      <c r="J941" s="35"/>
    </row>
    <row r="942">
      <c r="J942" s="35"/>
    </row>
    <row r="943">
      <c r="J943" s="35"/>
    </row>
    <row r="944">
      <c r="J944" s="35"/>
    </row>
    <row r="945">
      <c r="J945" s="35"/>
    </row>
    <row r="946">
      <c r="J946" s="35"/>
    </row>
    <row r="947">
      <c r="J947" s="35"/>
    </row>
    <row r="948">
      <c r="J948" s="35"/>
    </row>
    <row r="949">
      <c r="J949" s="35"/>
    </row>
    <row r="950">
      <c r="J950" s="35"/>
    </row>
    <row r="951">
      <c r="J951" s="35"/>
    </row>
    <row r="952">
      <c r="J952" s="35"/>
    </row>
    <row r="953">
      <c r="J953" s="35"/>
    </row>
    <row r="954">
      <c r="J954" s="35"/>
    </row>
    <row r="955">
      <c r="J955" s="35"/>
    </row>
    <row r="956">
      <c r="J956" s="35"/>
    </row>
    <row r="957">
      <c r="J957" s="35"/>
    </row>
    <row r="958">
      <c r="J958" s="35"/>
    </row>
    <row r="959">
      <c r="J959" s="35"/>
    </row>
    <row r="960">
      <c r="J960" s="35"/>
    </row>
    <row r="961">
      <c r="J961" s="35"/>
    </row>
    <row r="962">
      <c r="J962" s="35"/>
    </row>
    <row r="963">
      <c r="J963" s="35"/>
    </row>
    <row r="964">
      <c r="J964" s="35"/>
    </row>
    <row r="965">
      <c r="J965" s="35"/>
    </row>
    <row r="966">
      <c r="J966" s="35"/>
    </row>
    <row r="967">
      <c r="J967" s="35"/>
    </row>
    <row r="968">
      <c r="J968" s="35"/>
    </row>
    <row r="969">
      <c r="J969" s="35"/>
    </row>
    <row r="970">
      <c r="J970" s="35"/>
    </row>
    <row r="971">
      <c r="J971" s="35"/>
    </row>
    <row r="972">
      <c r="J972" s="35"/>
    </row>
    <row r="973">
      <c r="J973" s="35"/>
    </row>
    <row r="974">
      <c r="J974" s="35"/>
    </row>
    <row r="975">
      <c r="J975" s="35"/>
    </row>
    <row r="976">
      <c r="J976" s="35"/>
    </row>
    <row r="977">
      <c r="J977" s="35"/>
    </row>
    <row r="978">
      <c r="J978" s="35"/>
    </row>
    <row r="979">
      <c r="J979" s="35"/>
    </row>
    <row r="980">
      <c r="J980" s="35"/>
    </row>
    <row r="981">
      <c r="J981" s="35"/>
    </row>
    <row r="982">
      <c r="J982" s="35"/>
    </row>
    <row r="983">
      <c r="J983" s="35"/>
    </row>
    <row r="984">
      <c r="J984" s="35"/>
    </row>
    <row r="985">
      <c r="J985" s="35"/>
    </row>
    <row r="986">
      <c r="J986" s="35"/>
    </row>
    <row r="987">
      <c r="J987" s="35"/>
    </row>
    <row r="988">
      <c r="J988" s="35"/>
    </row>
    <row r="989">
      <c r="J989" s="35"/>
    </row>
    <row r="990">
      <c r="J990" s="35"/>
    </row>
    <row r="991">
      <c r="J991" s="35"/>
    </row>
    <row r="992">
      <c r="J992" s="35"/>
    </row>
    <row r="993">
      <c r="J993" s="35"/>
    </row>
    <row r="994">
      <c r="J994" s="35"/>
    </row>
    <row r="995">
      <c r="J995" s="35"/>
    </row>
    <row r="996">
      <c r="J996" s="35"/>
    </row>
    <row r="997">
      <c r="J997" s="35"/>
    </row>
    <row r="998">
      <c r="J998" s="35"/>
    </row>
    <row r="999">
      <c r="J999" s="35"/>
    </row>
    <row r="1000">
      <c r="J1000" s="35"/>
    </row>
    <row r="1001">
      <c r="J1001" s="35"/>
    </row>
    <row r="1002">
      <c r="J1002" s="35"/>
    </row>
    <row r="1003">
      <c r="J1003" s="35"/>
    </row>
    <row r="1004">
      <c r="J1004" s="35"/>
    </row>
    <row r="1005">
      <c r="J1005" s="35"/>
    </row>
    <row r="1006">
      <c r="J1006" s="35"/>
    </row>
    <row r="1007">
      <c r="J1007" s="35"/>
    </row>
    <row r="1008">
      <c r="J1008" s="35"/>
    </row>
    <row r="1009">
      <c r="J1009" s="35"/>
    </row>
    <row r="1010">
      <c r="J1010" s="35"/>
    </row>
    <row r="1011">
      <c r="J1011" s="35"/>
    </row>
    <row r="1012">
      <c r="J1012" s="35"/>
    </row>
    <row r="1013">
      <c r="J1013" s="35"/>
    </row>
    <row r="1014">
      <c r="J1014" s="35"/>
    </row>
    <row r="1015">
      <c r="J1015" s="35"/>
    </row>
    <row r="1016">
      <c r="J1016" s="35"/>
    </row>
    <row r="1017">
      <c r="J1017" s="35"/>
    </row>
    <row r="1018">
      <c r="J1018" s="35"/>
    </row>
    <row r="1019">
      <c r="J1019" s="35"/>
    </row>
    <row r="1020">
      <c r="J1020" s="35"/>
    </row>
    <row r="1021">
      <c r="J1021" s="35"/>
    </row>
    <row r="1022">
      <c r="J1022" s="35"/>
    </row>
  </sheetData>
  <autoFilter ref="$H$1:$H$1022"/>
  <mergeCells count="8">
    <mergeCell ref="A2:D2"/>
    <mergeCell ref="A6:D6"/>
    <mergeCell ref="A15:D15"/>
    <mergeCell ref="A19:C19"/>
    <mergeCell ref="A28:D28"/>
    <mergeCell ref="A40:D40"/>
    <mergeCell ref="A48:D48"/>
    <mergeCell ref="A51:D51"/>
  </mergeCells>
  <hyperlinks>
    <hyperlink r:id="rId1" ref="D3"/>
    <hyperlink r:id="rId2" ref="D4"/>
    <hyperlink r:id="rId3" ref="D5"/>
    <hyperlink r:id="rId4" ref="D7"/>
    <hyperlink r:id="rId5" ref="D8"/>
    <hyperlink r:id="rId6" ref="D9"/>
    <hyperlink r:id="rId7" ref="D10"/>
    <hyperlink r:id="rId8" ref="D11"/>
    <hyperlink r:id="rId9" ref="D12"/>
    <hyperlink r:id="rId10" ref="D13"/>
    <hyperlink r:id="rId11" ref="D14"/>
    <hyperlink r:id="rId12" ref="D16"/>
    <hyperlink r:id="rId13" ref="D17"/>
    <hyperlink r:id="rId14" ref="D18"/>
    <hyperlink r:id="rId15" ref="D20"/>
    <hyperlink r:id="rId16" ref="D21"/>
    <hyperlink r:id="rId17" ref="D29"/>
    <hyperlink r:id="rId18" ref="D30"/>
    <hyperlink r:id="rId19" ref="D31"/>
    <hyperlink r:id="rId20" ref="D32"/>
    <hyperlink r:id="rId21" ref="D33"/>
    <hyperlink r:id="rId22" ref="D34"/>
    <hyperlink r:id="rId23" ref="D35"/>
    <hyperlink r:id="rId24" ref="D36"/>
    <hyperlink r:id="rId25" ref="D37"/>
    <hyperlink r:id="rId26" ref="D38"/>
    <hyperlink r:id="rId27" ref="D39"/>
    <hyperlink r:id="rId28" ref="D41"/>
    <hyperlink r:id="rId29" ref="D42"/>
    <hyperlink r:id="rId30" ref="D43"/>
    <hyperlink r:id="rId31" ref="D44"/>
    <hyperlink r:id="rId32" ref="D45"/>
    <hyperlink r:id="rId33" ref="D46"/>
    <hyperlink r:id="rId34" ref="D49"/>
    <hyperlink r:id="rId35" ref="D50"/>
    <hyperlink r:id="rId36" ref="D52"/>
    <hyperlink r:id="rId37" ref="D53"/>
    <hyperlink r:id="rId38" ref="D54"/>
    <hyperlink r:id="rId39" ref="D55"/>
    <hyperlink r:id="rId40" ref="D56"/>
    <hyperlink r:id="rId41" ref="D57"/>
  </hyperlinks>
  <drawing r:id="rId42"/>
</worksheet>
</file>